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_Sustainability" sheetId="1" r:id="rId5"/>
    <sheet state="visible" name="Rubric" sheetId="2" r:id="rId6"/>
    <sheet state="visible" name="Sources" sheetId="3" r:id="rId7"/>
  </sheets>
  <definedNames>
    <definedName hidden="1" localSheetId="0" name="_xlnm._FilterDatabase">Brand_Sustainability!$A$1:$X$41</definedName>
  </definedNames>
  <calcPr/>
</workbook>
</file>

<file path=xl/sharedStrings.xml><?xml version="1.0" encoding="utf-8"?>
<sst xmlns="http://schemas.openxmlformats.org/spreadsheetml/2006/main" count="683" uniqueCount="353">
  <si>
    <t>Brand</t>
  </si>
  <si>
    <t>Dimension</t>
  </si>
  <si>
    <t>Parent_Company</t>
  </si>
  <si>
    <t>DFW_Locations</t>
  </si>
  <si>
    <t>Store_Type</t>
  </si>
  <si>
    <t>Reports_ESG</t>
  </si>
  <si>
    <t>CDP_Score</t>
  </si>
  <si>
    <t>SBTi_Status</t>
  </si>
  <si>
    <t>Emissions_Target</t>
  </si>
  <si>
    <t>Renewable_Pct</t>
  </si>
  <si>
    <t>Renewable_Note</t>
  </si>
  <si>
    <t>Waste_Diversion_Pct</t>
  </si>
  <si>
    <t>Waste_Note</t>
  </si>
  <si>
    <t>Notable_Programs</t>
  </si>
  <si>
    <t>Report_URL</t>
  </si>
  <si>
    <t>Confidence</t>
  </si>
  <si>
    <t>Data_Note</t>
  </si>
  <si>
    <t>Source URL</t>
  </si>
  <si>
    <t>Sub_Reporting</t>
  </si>
  <si>
    <t>Sub_Target</t>
  </si>
  <si>
    <t>Sub_Renewable</t>
  </si>
  <si>
    <t>Sub_Waste</t>
  </si>
  <si>
    <t>Walmart</t>
  </si>
  <si>
    <t>Sub_Programs</t>
  </si>
  <si>
    <t>Score_Raw_0to10</t>
  </si>
  <si>
    <t>Sustain_Score_1to5</t>
  </si>
  <si>
    <t>Sustain_Label</t>
  </si>
  <si>
    <t>0 points</t>
  </si>
  <si>
    <t>1 point</t>
  </si>
  <si>
    <t>2 points</t>
  </si>
  <si>
    <t>Walmart Inc.</t>
  </si>
  <si>
    <t>Super Store</t>
  </si>
  <si>
    <t>Yes</t>
  </si>
  <si>
    <t>Not public (last confirmed A, 2019)</t>
  </si>
  <si>
    <t>Near-term validated (2026)</t>
  </si>
  <si>
    <t>https://corporate.walmart.com/purpose/esgreport/climate-resilience-energy-and-emissions</t>
  </si>
  <si>
    <t>Scope 1+2 -28% by FY2031 vs FY2025; zero-emissions aspiration 2040</t>
  </si>
  <si>
    <t>No public sustainability disclosure</t>
  </si>
  <si>
    <t>Partial: web page, qualitative report, or parent-only</t>
  </si>
  <si>
    <t>https://www.esgtoday.com/walmart-sets-new-sbti-approved-emissions-reduction-target/</t>
  </si>
  <si>
    <t>Full annual report with GHG inventory</t>
  </si>
  <si>
    <t>https://corporate.walmart.com/content/corporate/en_us/purpose/esgreport/environmental/waste-circular-economy.html</t>
  </si>
  <si>
    <t>No emissions target</t>
  </si>
  <si>
    <t>Target exists but intensity-based, unvalidated, or parent-level pledge only</t>
  </si>
  <si>
    <t>Absolute Scope 1+2 target validated by SBTi (near-term or net-zero)</t>
  </si>
  <si>
    <t>Sam's Club</t>
  </si>
  <si>
    <t>https://corporate.walmart.com/purpose/esgreport</t>
  </si>
  <si>
    <t>Target</t>
  </si>
  <si>
    <t>Not reported or &lt;10% renewable electricity</t>
  </si>
  <si>
    <t>https://corporate.target.com/sustainability-governance/climate</t>
  </si>
  <si>
    <t>53.3% global electricity FY2026; 100% by 2035 goal</t>
  </si>
  <si>
    <t>10-49% renewable electricity</t>
  </si>
  <si>
    <t>50%+ renewable electricity</t>
  </si>
  <si>
    <t>84% operational waste diverted FY2026</t>
  </si>
  <si>
    <t>https://corporate.target.com/getmedia/391e0902-54da-4a88-9325-4fa0098c2665/2025-Sustainability-and-Governance-Report.pdf</t>
  </si>
  <si>
    <t>Project Gigaton supplier program; 10 GW clean energy pledge</t>
  </si>
  <si>
    <t>Costco</t>
  </si>
  <si>
    <t>Not reported</t>
  </si>
  <si>
    <t>&lt;80% diversion, or target/volume only without a %</t>
  </si>
  <si>
    <t>https://s201.q4cdn.com/287523651/files/doc_financials/2025/ar/costco-sustainability-report-2025.pdf</t>
  </si>
  <si>
    <t>High</t>
  </si>
  <si>
    <t>80%+ landfill diversion</t>
  </si>
  <si>
    <t>Missed 2025 targets; new SBTi-validated target set 2026</t>
  </si>
  <si>
    <t>https://www.costco.com/sustainability-climate-action-plan.html</t>
  </si>
  <si>
    <t>None found</t>
  </si>
  <si>
    <t>Some named programs (donations, efficiency, EV)</t>
  </si>
  <si>
    <t>BJ's Wholesale Club</t>
  </si>
  <si>
    <t>Flagship program with measurable scope (e.g. Project Gigaton, Zero Hunger Zero Waste)</t>
  </si>
  <si>
    <t>https://www.bjs.com/biz/BJsESGContentEspot/BJs_ESGReport_2022.pdf</t>
  </si>
  <si>
    <t>Score_Raw_0to10 = sum of the five subscores. Sustain_Score_1to5 = MIN(5, INT(raw/2)+1).</t>
  </si>
  <si>
    <t>https://www.iccr.org/wp-content/uploads/2026/05/BJs-2026-GHG-Reductions_Exempt-Solicitation_TRILLIUM.pdf</t>
  </si>
  <si>
    <t>Kroger</t>
  </si>
  <si>
    <t>https://www.thekrogerco.com/wp-content/uploads/2025/10/Kroger-Co-2025-Responsible-Business-Report.pdf</t>
  </si>
  <si>
    <t>Albertsons</t>
  </si>
  <si>
    <t>https://s29.q4cdn.com/239956855/files/doc_downloads/2025/12/RecipeForChangeReport2025.pdf</t>
  </si>
  <si>
    <t>Score mapping</t>
  </si>
  <si>
    <t>https://www.epa.gov/system/files/documents/2025-01/top30retail_oct2024.pdf</t>
  </si>
  <si>
    <t>Tom Thumb</t>
  </si>
  <si>
    <t>Market Street</t>
  </si>
  <si>
    <t>Score</t>
  </si>
  <si>
    <t>ALDI</t>
  </si>
  <si>
    <t>https://corporate.aldi.us/corporate-sustainability/progress-report</t>
  </si>
  <si>
    <t>Label</t>
  </si>
  <si>
    <t>Raw range</t>
  </si>
  <si>
    <t>H-E-B</t>
  </si>
  <si>
    <t>https://ourtexasourfuture.com/</t>
  </si>
  <si>
    <t>https://newsroom.heb.com/h-e-b-environmental-sustainability/</t>
  </si>
  <si>
    <t>None / Undisclosed</t>
  </si>
  <si>
    <t>Central Market</t>
  </si>
  <si>
    <t>0-1</t>
  </si>
  <si>
    <t>Whole Foods Market</t>
  </si>
  <si>
    <t>Limited</t>
  </si>
  <si>
    <t>https://impact.wholefoods.com/</t>
  </si>
  <si>
    <t>2-3</t>
  </si>
  <si>
    <t>Moderate</t>
  </si>
  <si>
    <t>https://www.aboutamazon.com/news/sustainability/amazon-sustainability-report-2025</t>
  </si>
  <si>
    <t>4-5</t>
  </si>
  <si>
    <t>Sprouts Farmers Market</t>
  </si>
  <si>
    <t>https://s206.q4cdn.com/808897563/files/doc_financials/2026/esg/2025-Impact-Disclosure-Progress-Report.pdf</t>
  </si>
  <si>
    <t>Strong</t>
  </si>
  <si>
    <t>Trader Joe's</t>
  </si>
  <si>
    <t>https://www.climatefriendlysupermarkets.org/scorecard</t>
  </si>
  <si>
    <t>6-7</t>
  </si>
  <si>
    <t>https://www.traderjoes.com/home/neighborhood-shares</t>
  </si>
  <si>
    <t>Leader</t>
  </si>
  <si>
    <t>8-10</t>
  </si>
  <si>
    <t>WinCo Foods</t>
  </si>
  <si>
    <t>https://ditchcarbon.com/organizations/winco</t>
  </si>
  <si>
    <t>Fiesta Mart</t>
  </si>
  <si>
    <t>https://antad.net/chedraui-cuantifica-el-impacto-del-riesgo-climatico/</t>
  </si>
  <si>
    <t>https://inversionistas.grupochedraui.com.mx/wp-content/uploads/2025/09/IA_Chedraui_INGLES.pdf</t>
  </si>
  <si>
    <t>El Rancho Supermercado</t>
  </si>
  <si>
    <t>https://theshelbyreport.com/2024/04/24/heritage-grocers-group-showcases-sustainability-efforts/</t>
  </si>
  <si>
    <t>https://www.grocerydive.com/news/el-rancho-supermercado-bought-by-heritage-grocers-group/654299/</t>
  </si>
  <si>
    <t>El Rio Grande Latin Market</t>
  </si>
  <si>
    <t>https://elriogrande.net/</t>
  </si>
  <si>
    <t>La Michoacana</t>
  </si>
  <si>
    <t>https://en.wikipedia.org/wiki/La_Michoacana_Meat_Market</t>
  </si>
  <si>
    <t>Natural Grocers</t>
  </si>
  <si>
    <t>https://naturalgrocers.cld.bz/2025-Sustainability-Report</t>
  </si>
  <si>
    <t>https://progressivegrocer.com/10-most-sustainable-grocers-2026</t>
  </si>
  <si>
    <t>Brookshire's</t>
  </si>
  <si>
    <t>https://www.brookshires.com/community</t>
  </si>
  <si>
    <t>H Mart</t>
  </si>
  <si>
    <t>https://en.wikipedia.org/wiki/H_Mart</t>
  </si>
  <si>
    <t>99 Ranch Market</t>
  </si>
  <si>
    <t>https://www.epa.gov/sustainable-management-food/about-2018-food-recovery-challenge-regional-award-winners</t>
  </si>
  <si>
    <t>Patel Brothers</t>
  </si>
  <si>
    <t>https://en.wikipedia.org/wiki/Patel_Brothers</t>
  </si>
  <si>
    <t>Foodland</t>
  </si>
  <si>
    <t>https://www.gefoodland.com/</t>
  </si>
  <si>
    <t>India Bazaar</t>
  </si>
  <si>
    <t>https://www.indiabazaardfw.com/contact-us/history</t>
  </si>
  <si>
    <t>7-Eleven</t>
  </si>
  <si>
    <t>https://www.7andi.com/en/sustainability/overseas/us-sei.html</t>
  </si>
  <si>
    <t>https://corp.7-eleven.com/corp-press-releases/7-eleven-inc-releases-2025-impact-report</t>
  </si>
  <si>
    <t>Dollar General</t>
  </si>
  <si>
    <t>https://www.dollargeneral.com/content/dam/dg/assets/landing-pages/public-relations/corporate-social-responsibility/documents/Serving-Others-Report-FY25.pdf</t>
  </si>
  <si>
    <t>Dollar Tree</t>
  </si>
  <si>
    <t>https://corporate.dollartree.com/_assets/_fc0e5cbf789eb0c643fb503ce2075074/dollartreeinfo/db/1177/11406/pdf/Dollar_Tree_2026_Sustainability_Report.pdf</t>
  </si>
  <si>
    <t>Family Dollar</t>
  </si>
  <si>
    <t>https://corporate.dollartree.com/news-media/press-releases/detail/288/dollar-tree-completes-sale-of-family-dollar-business-to</t>
  </si>
  <si>
    <t>CVS</t>
  </si>
  <si>
    <t>https://www.cvshealth.com/impact/healthy-planet/climate-resiliency-and-energy.html</t>
  </si>
  <si>
    <t>https://www.cvshealth.com/content/dam/enterprise/cvs-enterprise/images/impact-2026/pdfs/2025_Impact_Report_Appendix.pdf</t>
  </si>
  <si>
    <t>Walgreens</t>
  </si>
  <si>
    <t>https://corporate.walgreens.com/wp-content/uploads/2026/03/Walgreens-Impact-Report_FY25.pdf</t>
  </si>
  <si>
    <t>QuikTrip</t>
  </si>
  <si>
    <t>https://ditchcarbon.com/organizations/quiktrip</t>
  </si>
  <si>
    <t>RaceTrac</t>
  </si>
  <si>
    <t>https://www.cspdailynews.com/fuels/racetrac-opens-its-first-electric-vehicle-charger-dallas</t>
  </si>
  <si>
    <t>Raceway</t>
  </si>
  <si>
    <t>https://ditchcarbon.com/organizations/racetrac</t>
  </si>
  <si>
    <t>Circle K</t>
  </si>
  <si>
    <t>https://filecache.investorroom.com/mr5ircnw_alimentationcouchetard/1495/COTA093_ACT_2026_Sustainability_Report_EN_20260623.pdf</t>
  </si>
  <si>
    <t>Murphy USA</t>
  </si>
  <si>
    <t>https://ir.corporate.murphyusa.com/investor-relations/esg-summary/default.aspx</t>
  </si>
  <si>
    <t>Murphy Express</t>
  </si>
  <si>
    <t>Braum's</t>
  </si>
  <si>
    <t>https://www.braums.com/about/</t>
  </si>
  <si>
    <t>Yes (via Walmart)</t>
  </si>
  <si>
    <t>See Walmart</t>
  </si>
  <si>
    <t>Inherits Walmart Inc. figure</t>
  </si>
  <si>
    <t>Walmart Inc. programs</t>
  </si>
  <si>
    <t>Medium</t>
  </si>
  <si>
    <t>No standalone reporting; all metrics inherited from Walmart Inc.</t>
  </si>
  <si>
    <t>Target Corporation</t>
  </si>
  <si>
    <t>Not public</t>
  </si>
  <si>
    <t>Near-term validated (2019); updated targets pending</t>
  </si>
  <si>
    <t>Scope 1+2 -55% by 2030 vs 2017 (-41% by 2024); net zero 2040</t>
  </si>
  <si>
    <t>76% renewable electricity 2024; 100% by 2030</t>
  </si>
  <si>
    <t>87% landfill diversion 2024; 90% by 2030</t>
  </si>
  <si>
    <t>Target Forward; Forward Renew supplier program; Target Zero</t>
  </si>
  <si>
    <t>Costco Wholesale Corp.</t>
  </si>
  <si>
    <t>None (states it has not adopted SBTs)</t>
  </si>
  <si>
    <t>Scope 1+2 -39% by 2030 vs 2020 (-2% so far); no net-zero year</t>
  </si>
  <si>
    <t>28% clean electricity 2024; 100% by 2035</t>
  </si>
  <si>
    <t>82.8% diverted FY2025</t>
  </si>
  <si>
    <t>Climate Action Plan; supplier emissions engagement</t>
  </si>
  <si>
    <t>Little progress on target to date</t>
  </si>
  <si>
    <t>BJ's Wholesale Club Holdings</t>
  </si>
  <si>
    <t>Partial (2022 report)</t>
  </si>
  <si>
    <t>None (2022 pledge unfulfilled)</t>
  </si>
  <si>
    <t>None; Scope 1+2 baseline only</t>
  </si>
  <si>
    <t>~6% on-site solar FY2023; no target</t>
  </si>
  <si>
    <t>No % reported; 50% food-waste-reduction pledge by 2030</t>
  </si>
  <si>
    <t>Feeding Communities donations; rooftop solar</t>
  </si>
  <si>
    <t>Low</t>
  </si>
  <si>
    <t>Layer lists as 'BJ's Wholesale Club 252/264'; ESG content removed from site</t>
  </si>
  <si>
    <t>The Kroger Co.</t>
  </si>
  <si>
    <t>Supermarket</t>
  </si>
  <si>
    <t>Committed (2022), not validated</t>
  </si>
  <si>
    <t>Scope 1+2 -30% by 2030 vs 2018 (-15% by 2024); no net-zero year</t>
  </si>
  <si>
    <t>85% operational diversion 2024</t>
  </si>
  <si>
    <t>Zero Hunger | Zero Waste; natural refrigerants</t>
  </si>
  <si>
    <t>https://www.thekrogerco.com/impact/reporting-hub/</t>
  </si>
  <si>
    <t>Medium-High</t>
  </si>
  <si>
    <t>Renewable % not disclosed</t>
  </si>
  <si>
    <t>Albertsons Companies</t>
  </si>
  <si>
    <t>Near-term validated (~2022)</t>
  </si>
  <si>
    <t>Scope 1+2 -47% by 2030 vs 2019 (-24% by FY2024); net zero ops 2040</t>
  </si>
  <si>
    <t>48% green power (EPA GPP Oct 2024)</t>
  </si>
  <si>
    <t>Zero food waste to landfill by 2030; 325M lbs diverted FY2024; no % reported</t>
  </si>
  <si>
    <t>Recipe for Change; Nourishing Neighbors</t>
  </si>
  <si>
    <t>Yes (via Albertsons)</t>
  </si>
  <si>
    <t>See Albertsons</t>
  </si>
  <si>
    <t>Inherits Albertsons figure</t>
  </si>
  <si>
    <t>Inherits Albertsons</t>
  </si>
  <si>
    <t>Albertsons programs</t>
  </si>
  <si>
    <t>Banner; metrics are Albertsons consolidated</t>
  </si>
  <si>
    <t>United Supermarkets / Albertsons</t>
  </si>
  <si>
    <t>ALDI Inc. (ALDI SUD Group)</t>
  </si>
  <si>
    <t>Net-zero validated (2024)</t>
  </si>
  <si>
    <t>Scope 1+2 -52% by 2030, -90% by 2035 vs 2021; net zero 2050</t>
  </si>
  <si>
    <t>100% renewable (RECs) 6 yrs running; EPA GPP #4 retail</t>
  </si>
  <si>
    <t>82.4% diverted 2024; 90% goal</t>
  </si>
  <si>
    <t>Natural refrigerants (33% of stores); no plastic bags; on-site solar</t>
  </si>
  <si>
    <t>H-E-B, LP (private)</t>
  </si>
  <si>
    <t>Partial (web only)</t>
  </si>
  <si>
    <t>None</t>
  </si>
  <si>
    <t>None disclosed</t>
  </si>
  <si>
    <t>67 rooftop solar sites; 5 MW wind; no %</t>
  </si>
  <si>
    <t>60% diversion (2020); 87M lbs composted 2025</t>
  </si>
  <si>
    <t>Our Texas, Our Future; EPA GreenChill/SmartWay</t>
  </si>
  <si>
    <t>No GHG inventory or targets</t>
  </si>
  <si>
    <t>H-E-B, LP</t>
  </si>
  <si>
    <t>Partial (via H-E-B)</t>
  </si>
  <si>
    <t>Inherits H-E-B</t>
  </si>
  <si>
    <t>Inherits H-E-B (2020)</t>
  </si>
  <si>
    <t>H-E-B programs</t>
  </si>
  <si>
    <t>Banner; metrics are H-E-B parent</t>
  </si>
  <si>
    <t>Amazon.com, Inc.</t>
  </si>
  <si>
    <t>Partial (impact report, no GHG)</t>
  </si>
  <si>
    <t>None (Amazon commitment removed 2023)</t>
  </si>
  <si>
    <t>No WFM target; Amazon net zero 2040 (Climate Pledge)</t>
  </si>
  <si>
    <t>Not reported; 61 stores with solar; Amazon 100% matched</t>
  </si>
  <si>
    <t>70% diverted (2023); 96% of stores in diversion programs</t>
  </si>
  <si>
    <t>Natural refrigerants in new stores; food rescue; US Food Waste Pact</t>
  </si>
  <si>
    <t>Climate metrics rely on Amazon parent</t>
  </si>
  <si>
    <t>Sprouts Farmers Market, Inc.</t>
  </si>
  <si>
    <t>None; discloses Scope 1+2 (-2.8% y/y 2025)</t>
  </si>
  <si>
    <t>73% diversion 2025</t>
  </si>
  <si>
    <t>Food Rescue (30M meals); low-GWP refrigeration</t>
  </si>
  <si>
    <t>https://investors.sprouts.com/impact-reports/default.aspx</t>
  </si>
  <si>
    <t>Reports data but sets no targets</t>
  </si>
  <si>
    <t>Trader Joe's Co. (private, Aldi Nord family)</t>
  </si>
  <si>
    <t>No</t>
  </si>
  <si>
    <t>Neighborhood Shares food donation</t>
  </si>
  <si>
    <t>No sustainability report; EIA scorecard 17%</t>
  </si>
  <si>
    <t>WinCo Foods, LLC (ESOP)</t>
  </si>
  <si>
    <t>Food bank donations only</t>
  </si>
  <si>
    <t>No disclosures</t>
  </si>
  <si>
    <t>Chedraui USA / Grupo Chedraui</t>
  </si>
  <si>
    <t>Partial (parent, Mexico-focused)</t>
  </si>
  <si>
    <t>None; parent discloses Scope 1+2</t>
  </si>
  <si>
    <t>Parent 63% renewable (Mexico ops only); US not reported</t>
  </si>
  <si>
    <t>Parent IFRS S2 climate report; sustainable seafood</t>
  </si>
  <si>
    <t>https://inversionistas.grupochedraui.com.mx/</t>
  </si>
  <si>
    <t>No Fiesta-specific data</t>
  </si>
  <si>
    <t>Heritage Grocers Group (Apollo)</t>
  </si>
  <si>
    <t>Partial (press only)</t>
  </si>
  <si>
    <t>None; group cut Scope 1+2 13% y/y (2024)</t>
  </si>
  <si>
    <t>Renewable PPA for TX stores announced 2024; no %</t>
  </si>
  <si>
    <t>1.5M lbs food diverted (group); no %</t>
  </si>
  <si>
    <t>Renewable PPA; LED/HVAC; refrigerant leak tagging</t>
  </si>
  <si>
    <t>Owned by Heritage Grocers since 2023, not Chedraui</t>
  </si>
  <si>
    <t>Private (Dallas)</t>
  </si>
  <si>
    <t>High (none published)</t>
  </si>
  <si>
    <t>La Michoacana Meat Market (private, Houston)</t>
  </si>
  <si>
    <t>Grocery Store</t>
  </si>
  <si>
    <t>Natural Grocers by Vitamin Cottage (NYSE: NGVC)</t>
  </si>
  <si>
    <t>Partial (qualitative report)</t>
  </si>
  <si>
    <t>No % reported; 500M plastic bags avoided since 2009</t>
  </si>
  <si>
    <t>First US grocer to ban plastic checkout bags (2009); PG Most Sustainable Grocers 2025/26</t>
  </si>
  <si>
    <t>https://www.naturalgrocers.com/sustainability-report</t>
  </si>
  <si>
    <t>Report lacks GHG metrics</t>
  </si>
  <si>
    <t>Brookshire Grocery Co. (private, Tyler TX)</t>
  </si>
  <si>
    <t>Not reported; ~600K lbs food donated/yr</t>
  </si>
  <si>
    <t>EPA SmartWay; bag/bottle recycling; food bank giving</t>
  </si>
  <si>
    <t>H Mart Inc. (private)</t>
  </si>
  <si>
    <t>Tawa Supermarket, Inc. (private)</t>
  </si>
  <si>
    <t>Single-store EPA Food Recovery award (2018)</t>
  </si>
  <si>
    <t>EPA Food Recovery Challenge award (2018)</t>
  </si>
  <si>
    <t>Dated, single-store datapoint</t>
  </si>
  <si>
    <t>Patel Brothers (private)</t>
  </si>
  <si>
    <t>G.E. Foodland, Inc. (private, DFW)</t>
  </si>
  <si>
    <t>Local food bank support</t>
  </si>
  <si>
    <t>Assumed G.E. Foodland</t>
  </si>
  <si>
    <t>Private (Pabari family, Plano)</t>
  </si>
  <si>
    <t>Seven &amp; i Holdings / 7-Eleven, Inc.</t>
  </si>
  <si>
    <t>Convenience Store</t>
  </si>
  <si>
    <t>Store Scope 1+2 -50% by 2030 vs FY2013 (-33% by FY2024); net zero 2050</t>
  </si>
  <si>
    <t>~23% of US/Canada store electricity FY2024</t>
  </si>
  <si>
    <t>50% food-waste reduction goal by 2030; no %</t>
  </si>
  <si>
    <t>7Charge EV network; HVAC efficiency program</t>
  </si>
  <si>
    <t>Dollar General Corp. (NYSE: DG)</t>
  </si>
  <si>
    <t>Other</t>
  </si>
  <si>
    <t>Intensity only: -15% by 2026 (met), -30% by 2031 vs 2020 per sq ft</t>
  </si>
  <si>
    <t>Not reported as %; ~3,300 stores on wind/solar agreements</t>
  </si>
  <si>
    <t>66% landfill diversion 2025</t>
  </si>
  <si>
    <t>ISO 50001 energy mgmt in 99% of stores</t>
  </si>
  <si>
    <t>No absolute target</t>
  </si>
  <si>
    <t>Dollar Tree, Inc. (NASDAQ: DLTR)</t>
  </si>
  <si>
    <t>Not public (publishes CDP response)</t>
  </si>
  <si>
    <t>None (1.5C-aligned, unvalidated)</t>
  </si>
  <si>
    <t>Scope 1+2 -50% by FY2032 vs FY2023; net zero 2050</t>
  </si>
  <si>
    <t>Not reported as %; solar PPAs from 2026</t>
  </si>
  <si>
    <t>70% diversion FY2025</t>
  </si>
  <si>
    <t>Energy Efficiency Standard for new stores</t>
  </si>
  <si>
    <t>https://corporate.dollartree.com/values/environmental-stewardship</t>
  </si>
  <si>
    <t>Brigade Capital / Macellum (private since Jul 2025)</t>
  </si>
  <si>
    <t>None since divestiture from Dollar Tree</t>
  </si>
  <si>
    <t>None post-divestiture</t>
  </si>
  <si>
    <t>Excluded from Dollar Tree reporting after 2025 sale</t>
  </si>
  <si>
    <t>CVS Health Corp. (NYSE: CVS)</t>
  </si>
  <si>
    <t>A- (secondary source, undated)</t>
  </si>
  <si>
    <t>Net-zero validated (2021)</t>
  </si>
  <si>
    <t>Scope 1+2 -47% by 2030 vs 2019 (-43% by 2025); net zero 2050</t>
  </si>
  <si>
    <t>33% renewable energy 2025; 50% by 2040</t>
  </si>
  <si>
    <t>63% diversion 2025</t>
  </si>
  <si>
    <t>Seven renewable PPAs; fleet electrification</t>
  </si>
  <si>
    <t>Walgreens Boots Alliance (private, Sycamore 2025)</t>
  </si>
  <si>
    <t>B (FY2018, dated)</t>
  </si>
  <si>
    <t>Scope 1+2 -30% by FY2030 vs FY2019 (achieved -38% by FY2025); no net zero</t>
  </si>
  <si>
    <t>1% renewable FY2025</t>
  </si>
  <si>
    <t>&gt;99% diversion at DCs; landfill waste -45% vs FY2019; no overall %</t>
  </si>
  <si>
    <t>$500M+ efficiency upgrades; Green Box product recovery</t>
  </si>
  <si>
    <t>QuikTrip Corp. (private)</t>
  </si>
  <si>
    <t>RaceTrac, Inc. (private)</t>
  </si>
  <si>
    <t>EV chargers (DFW, 2023)</t>
  </si>
  <si>
    <t>Also operates Raceway (10 DFW sites)</t>
  </si>
  <si>
    <t>See RaceTrac</t>
  </si>
  <si>
    <t>RaceTrac banner</t>
  </si>
  <si>
    <t>Alimentation Couche-Tard (TSX: ATD)</t>
  </si>
  <si>
    <t>Scope 1+2 -24% vs 2020 achieved FY2026; 30% of sites carbon-neutral by 2030; no net zero</t>
  </si>
  <si>
    <t>Not reported group-wide; pursuing 100% via VPPAs</t>
  </si>
  <si>
    <t>Too Good To Go 4M+ meals; packaging goals; no %</t>
  </si>
  <si>
    <t>4,700+ EV charge points; $1B renewable investment goal</t>
  </si>
  <si>
    <t>https://corporate.couche-tard.com/planet/</t>
  </si>
  <si>
    <t>Murphy USA Inc. (NYSE: MUSA)</t>
  </si>
  <si>
    <t>Partial (SASB summary)</t>
  </si>
  <si>
    <t>None; discloses Scope 1+2 only</t>
  </si>
  <si>
    <t>Annual ESG Summary only</t>
  </si>
  <si>
    <t>Murphy USA Inc.</t>
  </si>
  <si>
    <t>Partial (via Murphy USA)</t>
  </si>
  <si>
    <t>See Murphy USA</t>
  </si>
  <si>
    <t>Murphy USA banner</t>
  </si>
  <si>
    <t>W.H. Braum, Inc. (private)</t>
  </si>
  <si>
    <t>Legend</t>
  </si>
  <si>
    <t>Blue cells (Sub_* columns Q-U) are hand-assigned 0/1/2 subscores per the Rubric sheet; edit them to re-score. Score columns V-X are formulas.</t>
  </si>
  <si>
    <t>Renewable_Pct and Waste_Diversion_Pct are blank when a company does not report a figure. CDP letter grades are no longer public without a CDP license; treat that column as informational.</t>
  </si>
  <si>
    <t>Join key: Brand column matches the Brand field values in SNAP_Retailers_DFW_brands. Banners (Tom Thumb, Market Street, Central Market, Sam's Club, Murphy Express, Raceway) inherit parent metrics.</t>
  </si>
  <si>
    <t>Compiled Sept 3, 2026 from company sustainability reports, EPA Green Power Partnership, SBTi coverage, and trade press. See Sources sheet.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</si>
</sst>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FF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0" fontId="2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30.0"/>
    <col customWidth="1" min="3" max="3" width="10.0"/>
    <col customWidth="1" min="4" max="4" width="16.0"/>
    <col customWidth="1" min="5" max="5" width="18.0"/>
    <col customWidth="1" min="6" max="6" width="22.0"/>
    <col customWidth="1" min="7" max="7" width="26.0"/>
    <col customWidth="1" min="8" max="8" width="40.0"/>
    <col customWidth="1" min="9" max="9" width="10.0"/>
    <col customWidth="1" min="10" max="10" width="32.0"/>
    <col customWidth="1" min="11" max="11" width="10.0"/>
    <col customWidth="1" min="12" max="12" width="32.0"/>
    <col customWidth="1" min="13" max="13" width="36.0"/>
    <col customWidth="1" min="14" max="14" width="40.0"/>
    <col customWidth="1" min="15" max="15" width="14.0"/>
    <col customWidth="1" min="16" max="16" width="32.0"/>
    <col customWidth="1" min="17" max="21" width="8.0"/>
    <col customWidth="1" min="22" max="23" width="10.0"/>
    <col customWidth="1" min="24" max="24" width="16.0"/>
    <col customWidth="1" min="25" max="26" width="8.71"/>
  </cols>
  <sheetData>
    <row r="1" ht="31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23</v>
      </c>
      <c r="V1" s="1" t="s">
        <v>24</v>
      </c>
      <c r="W1" s="1" t="s">
        <v>25</v>
      </c>
      <c r="X1" s="1" t="s">
        <v>26</v>
      </c>
    </row>
    <row r="2">
      <c r="A2" s="4" t="s">
        <v>22</v>
      </c>
      <c r="B2" s="4" t="s">
        <v>30</v>
      </c>
      <c r="C2" s="4">
        <v>126.0</v>
      </c>
      <c r="D2" s="4" t="s">
        <v>31</v>
      </c>
      <c r="E2" s="4" t="s">
        <v>32</v>
      </c>
      <c r="F2" s="4" t="s">
        <v>33</v>
      </c>
      <c r="G2" s="4" t="s">
        <v>34</v>
      </c>
      <c r="H2" s="4" t="s">
        <v>36</v>
      </c>
      <c r="I2" s="7">
        <v>53.3</v>
      </c>
      <c r="J2" s="4" t="s">
        <v>50</v>
      </c>
      <c r="K2" s="7">
        <v>84.0</v>
      </c>
      <c r="L2" s="4" t="s">
        <v>53</v>
      </c>
      <c r="M2" s="4" t="s">
        <v>55</v>
      </c>
      <c r="N2" s="4" t="s">
        <v>46</v>
      </c>
      <c r="O2" s="4" t="s">
        <v>60</v>
      </c>
      <c r="P2" s="4" t="s">
        <v>62</v>
      </c>
      <c r="Q2" s="8">
        <v>2.0</v>
      </c>
      <c r="R2" s="8">
        <v>2.0</v>
      </c>
      <c r="S2" s="8">
        <v>2.0</v>
      </c>
      <c r="T2" s="8">
        <v>2.0</v>
      </c>
      <c r="U2" s="8">
        <v>2.0</v>
      </c>
      <c r="V2" s="10">
        <f t="shared" ref="V2:V41" si="1">SUM(Q2:U2)</f>
        <v>10</v>
      </c>
      <c r="W2" s="11">
        <f t="shared" ref="W2:W41" si="2">MIN(5,INT(V2/2)+1)</f>
        <v>5</v>
      </c>
      <c r="X2" s="10" t="str">
        <f t="array" ref="X2">INDEX(Rubric!$B$12:$B$16,MATCH(W2,Rubric!$A$12:$A$16,0))</f>
        <v>Leader</v>
      </c>
    </row>
    <row r="3">
      <c r="A3" s="4" t="s">
        <v>45</v>
      </c>
      <c r="B3" s="4" t="s">
        <v>30</v>
      </c>
      <c r="C3" s="4">
        <v>23.0</v>
      </c>
      <c r="D3" s="4" t="s">
        <v>31</v>
      </c>
      <c r="E3" s="4" t="s">
        <v>160</v>
      </c>
      <c r="F3" s="4" t="s">
        <v>161</v>
      </c>
      <c r="G3" s="4" t="s">
        <v>161</v>
      </c>
      <c r="H3" s="4" t="s">
        <v>161</v>
      </c>
      <c r="I3" s="7">
        <v>53.3</v>
      </c>
      <c r="J3" s="4" t="s">
        <v>162</v>
      </c>
      <c r="K3" s="7">
        <v>84.0</v>
      </c>
      <c r="L3" s="4" t="s">
        <v>162</v>
      </c>
      <c r="M3" s="4" t="s">
        <v>163</v>
      </c>
      <c r="N3" s="4" t="s">
        <v>46</v>
      </c>
      <c r="O3" s="4" t="s">
        <v>164</v>
      </c>
      <c r="P3" s="4" t="s">
        <v>165</v>
      </c>
      <c r="Q3" s="8">
        <v>2.0</v>
      </c>
      <c r="R3" s="8">
        <v>2.0</v>
      </c>
      <c r="S3" s="8">
        <v>2.0</v>
      </c>
      <c r="T3" s="8">
        <v>2.0</v>
      </c>
      <c r="U3" s="8">
        <v>2.0</v>
      </c>
      <c r="V3" s="10">
        <f t="shared" si="1"/>
        <v>10</v>
      </c>
      <c r="W3" s="11">
        <f t="shared" si="2"/>
        <v>5</v>
      </c>
      <c r="X3" s="10" t="str">
        <f t="array" ref="X3">INDEX(Rubric!$B$12:$B$16,MATCH(W3,Rubric!$A$12:$A$16,0))</f>
        <v>Leader</v>
      </c>
    </row>
    <row r="4">
      <c r="A4" s="4" t="s">
        <v>47</v>
      </c>
      <c r="B4" s="4" t="s">
        <v>166</v>
      </c>
      <c r="C4" s="4">
        <v>49.0</v>
      </c>
      <c r="D4" s="4" t="s">
        <v>31</v>
      </c>
      <c r="E4" s="4" t="s">
        <v>32</v>
      </c>
      <c r="F4" s="4" t="s">
        <v>167</v>
      </c>
      <c r="G4" s="4" t="s">
        <v>168</v>
      </c>
      <c r="H4" s="4" t="s">
        <v>169</v>
      </c>
      <c r="I4" s="7">
        <v>76.0</v>
      </c>
      <c r="J4" s="4" t="s">
        <v>170</v>
      </c>
      <c r="K4" s="7">
        <v>87.0</v>
      </c>
      <c r="L4" s="4" t="s">
        <v>171</v>
      </c>
      <c r="M4" s="4" t="s">
        <v>172</v>
      </c>
      <c r="N4" s="4" t="s">
        <v>49</v>
      </c>
      <c r="O4" s="4" t="s">
        <v>60</v>
      </c>
      <c r="P4" s="4"/>
      <c r="Q4" s="8">
        <v>2.0</v>
      </c>
      <c r="R4" s="8">
        <v>2.0</v>
      </c>
      <c r="S4" s="8">
        <v>2.0</v>
      </c>
      <c r="T4" s="8">
        <v>2.0</v>
      </c>
      <c r="U4" s="8">
        <v>2.0</v>
      </c>
      <c r="V4" s="10">
        <f t="shared" si="1"/>
        <v>10</v>
      </c>
      <c r="W4" s="11">
        <f t="shared" si="2"/>
        <v>5</v>
      </c>
      <c r="X4" s="10" t="str">
        <f t="array" ref="X4">INDEX(Rubric!$B$12:$B$16,MATCH(W4,Rubric!$A$12:$A$16,0))</f>
        <v>Leader</v>
      </c>
    </row>
    <row r="5">
      <c r="A5" s="4" t="s">
        <v>56</v>
      </c>
      <c r="B5" s="4" t="s">
        <v>173</v>
      </c>
      <c r="C5" s="4">
        <v>16.0</v>
      </c>
      <c r="D5" s="4" t="s">
        <v>31</v>
      </c>
      <c r="E5" s="4" t="s">
        <v>32</v>
      </c>
      <c r="F5" s="4" t="s">
        <v>167</v>
      </c>
      <c r="G5" s="4" t="s">
        <v>174</v>
      </c>
      <c r="H5" s="4" t="s">
        <v>175</v>
      </c>
      <c r="I5" s="7">
        <v>28.0</v>
      </c>
      <c r="J5" s="4" t="s">
        <v>176</v>
      </c>
      <c r="K5" s="7">
        <v>82.8</v>
      </c>
      <c r="L5" s="4" t="s">
        <v>177</v>
      </c>
      <c r="M5" s="4" t="s">
        <v>178</v>
      </c>
      <c r="N5" s="4" t="s">
        <v>63</v>
      </c>
      <c r="O5" s="4" t="s">
        <v>60</v>
      </c>
      <c r="P5" s="4" t="s">
        <v>179</v>
      </c>
      <c r="Q5" s="8">
        <v>2.0</v>
      </c>
      <c r="R5" s="8">
        <v>1.0</v>
      </c>
      <c r="S5" s="8">
        <v>1.0</v>
      </c>
      <c r="T5" s="8">
        <v>2.0</v>
      </c>
      <c r="U5" s="8">
        <v>1.0</v>
      </c>
      <c r="V5" s="10">
        <f t="shared" si="1"/>
        <v>7</v>
      </c>
      <c r="W5" s="11">
        <f t="shared" si="2"/>
        <v>4</v>
      </c>
      <c r="X5" s="10" t="str">
        <f t="array" ref="X5">INDEX(Rubric!$B$12:$B$16,MATCH(W5,Rubric!$A$12:$A$16,0))</f>
        <v>Strong</v>
      </c>
    </row>
    <row r="6">
      <c r="A6" s="4" t="s">
        <v>66</v>
      </c>
      <c r="B6" s="4" t="s">
        <v>180</v>
      </c>
      <c r="C6" s="4">
        <v>2.0</v>
      </c>
      <c r="D6" s="4" t="s">
        <v>31</v>
      </c>
      <c r="E6" s="4" t="s">
        <v>181</v>
      </c>
      <c r="F6" s="4" t="s">
        <v>167</v>
      </c>
      <c r="G6" s="4" t="s">
        <v>182</v>
      </c>
      <c r="H6" s="4" t="s">
        <v>183</v>
      </c>
      <c r="I6" s="7"/>
      <c r="J6" s="4" t="s">
        <v>184</v>
      </c>
      <c r="K6" s="7"/>
      <c r="L6" s="4" t="s">
        <v>185</v>
      </c>
      <c r="M6" s="4" t="s">
        <v>186</v>
      </c>
      <c r="N6" s="4" t="s">
        <v>68</v>
      </c>
      <c r="O6" s="4" t="s">
        <v>187</v>
      </c>
      <c r="P6" s="4" t="s">
        <v>188</v>
      </c>
      <c r="Q6" s="8">
        <v>1.0</v>
      </c>
      <c r="R6" s="8">
        <v>0.0</v>
      </c>
      <c r="S6" s="8">
        <v>0.0</v>
      </c>
      <c r="T6" s="8">
        <v>1.0</v>
      </c>
      <c r="U6" s="8">
        <v>1.0</v>
      </c>
      <c r="V6" s="10">
        <f t="shared" si="1"/>
        <v>3</v>
      </c>
      <c r="W6" s="11">
        <f t="shared" si="2"/>
        <v>2</v>
      </c>
      <c r="X6" s="10" t="str">
        <f t="array" ref="X6">INDEX(Rubric!$B$12:$B$16,MATCH(W6,Rubric!$A$12:$A$16,0))</f>
        <v>Limited</v>
      </c>
    </row>
    <row r="7">
      <c r="A7" s="4" t="s">
        <v>71</v>
      </c>
      <c r="B7" s="4" t="s">
        <v>189</v>
      </c>
      <c r="C7" s="4">
        <v>87.0</v>
      </c>
      <c r="D7" s="4" t="s">
        <v>190</v>
      </c>
      <c r="E7" s="4" t="s">
        <v>32</v>
      </c>
      <c r="F7" s="4" t="s">
        <v>167</v>
      </c>
      <c r="G7" s="4" t="s">
        <v>191</v>
      </c>
      <c r="H7" s="4" t="s">
        <v>192</v>
      </c>
      <c r="I7" s="7"/>
      <c r="J7" s="4" t="s">
        <v>57</v>
      </c>
      <c r="K7" s="7">
        <v>85.0</v>
      </c>
      <c r="L7" s="4" t="s">
        <v>193</v>
      </c>
      <c r="M7" s="4" t="s">
        <v>194</v>
      </c>
      <c r="N7" s="4" t="s">
        <v>195</v>
      </c>
      <c r="O7" s="4" t="s">
        <v>196</v>
      </c>
      <c r="P7" s="4" t="s">
        <v>197</v>
      </c>
      <c r="Q7" s="8">
        <v>2.0</v>
      </c>
      <c r="R7" s="8">
        <v>1.0</v>
      </c>
      <c r="S7" s="8">
        <v>0.0</v>
      </c>
      <c r="T7" s="8">
        <v>2.0</v>
      </c>
      <c r="U7" s="8">
        <v>2.0</v>
      </c>
      <c r="V7" s="10">
        <f t="shared" si="1"/>
        <v>7</v>
      </c>
      <c r="W7" s="11">
        <f t="shared" si="2"/>
        <v>4</v>
      </c>
      <c r="X7" s="10" t="str">
        <f t="array" ref="X7">INDEX(Rubric!$B$12:$B$16,MATCH(W7,Rubric!$A$12:$A$16,0))</f>
        <v>Strong</v>
      </c>
    </row>
    <row r="8">
      <c r="A8" s="4" t="s">
        <v>73</v>
      </c>
      <c r="B8" s="4" t="s">
        <v>198</v>
      </c>
      <c r="C8" s="4">
        <v>27.0</v>
      </c>
      <c r="D8" s="4" t="s">
        <v>190</v>
      </c>
      <c r="E8" s="4" t="s">
        <v>32</v>
      </c>
      <c r="F8" s="4" t="s">
        <v>167</v>
      </c>
      <c r="G8" s="4" t="s">
        <v>199</v>
      </c>
      <c r="H8" s="4" t="s">
        <v>200</v>
      </c>
      <c r="I8" s="7">
        <v>48.0</v>
      </c>
      <c r="J8" s="4" t="s">
        <v>201</v>
      </c>
      <c r="K8" s="7"/>
      <c r="L8" s="4" t="s">
        <v>202</v>
      </c>
      <c r="M8" s="4" t="s">
        <v>203</v>
      </c>
      <c r="N8" s="4" t="s">
        <v>74</v>
      </c>
      <c r="O8" s="4" t="s">
        <v>60</v>
      </c>
      <c r="P8" s="4"/>
      <c r="Q8" s="8">
        <v>2.0</v>
      </c>
      <c r="R8" s="8">
        <v>2.0</v>
      </c>
      <c r="S8" s="8">
        <v>1.0</v>
      </c>
      <c r="T8" s="8">
        <v>1.0</v>
      </c>
      <c r="U8" s="8">
        <v>2.0</v>
      </c>
      <c r="V8" s="10">
        <f t="shared" si="1"/>
        <v>8</v>
      </c>
      <c r="W8" s="11">
        <f t="shared" si="2"/>
        <v>5</v>
      </c>
      <c r="X8" s="10" t="str">
        <f t="array" ref="X8">INDEX(Rubric!$B$12:$B$16,MATCH(W8,Rubric!$A$12:$A$16,0))</f>
        <v>Leader</v>
      </c>
    </row>
    <row r="9">
      <c r="A9" s="4" t="s">
        <v>77</v>
      </c>
      <c r="B9" s="4" t="s">
        <v>198</v>
      </c>
      <c r="C9" s="4">
        <v>68.0</v>
      </c>
      <c r="D9" s="4" t="s">
        <v>190</v>
      </c>
      <c r="E9" s="4" t="s">
        <v>204</v>
      </c>
      <c r="F9" s="4" t="s">
        <v>205</v>
      </c>
      <c r="G9" s="4" t="s">
        <v>205</v>
      </c>
      <c r="H9" s="4" t="s">
        <v>205</v>
      </c>
      <c r="I9" s="7">
        <v>48.0</v>
      </c>
      <c r="J9" s="4" t="s">
        <v>206</v>
      </c>
      <c r="K9" s="7"/>
      <c r="L9" s="4" t="s">
        <v>207</v>
      </c>
      <c r="M9" s="4" t="s">
        <v>208</v>
      </c>
      <c r="N9" s="4" t="s">
        <v>74</v>
      </c>
      <c r="O9" s="4" t="s">
        <v>60</v>
      </c>
      <c r="P9" s="4" t="s">
        <v>209</v>
      </c>
      <c r="Q9" s="8">
        <v>2.0</v>
      </c>
      <c r="R9" s="8">
        <v>2.0</v>
      </c>
      <c r="S9" s="8">
        <v>1.0</v>
      </c>
      <c r="T9" s="8">
        <v>1.0</v>
      </c>
      <c r="U9" s="8">
        <v>2.0</v>
      </c>
      <c r="V9" s="10">
        <f t="shared" si="1"/>
        <v>8</v>
      </c>
      <c r="W9" s="11">
        <f t="shared" si="2"/>
        <v>5</v>
      </c>
      <c r="X9" s="10" t="str">
        <f t="array" ref="X9">INDEX(Rubric!$B$12:$B$16,MATCH(W9,Rubric!$A$12:$A$16,0))</f>
        <v>Leader</v>
      </c>
    </row>
    <row r="10">
      <c r="A10" s="4" t="s">
        <v>78</v>
      </c>
      <c r="B10" s="4" t="s">
        <v>210</v>
      </c>
      <c r="C10" s="4">
        <v>10.0</v>
      </c>
      <c r="D10" s="4" t="s">
        <v>190</v>
      </c>
      <c r="E10" s="4" t="s">
        <v>204</v>
      </c>
      <c r="F10" s="4" t="s">
        <v>205</v>
      </c>
      <c r="G10" s="4" t="s">
        <v>205</v>
      </c>
      <c r="H10" s="4" t="s">
        <v>205</v>
      </c>
      <c r="I10" s="7">
        <v>48.0</v>
      </c>
      <c r="J10" s="4" t="s">
        <v>206</v>
      </c>
      <c r="K10" s="7"/>
      <c r="L10" s="4" t="s">
        <v>207</v>
      </c>
      <c r="M10" s="4" t="s">
        <v>208</v>
      </c>
      <c r="N10" s="4" t="s">
        <v>74</v>
      </c>
      <c r="O10" s="4" t="s">
        <v>60</v>
      </c>
      <c r="P10" s="4" t="s">
        <v>209</v>
      </c>
      <c r="Q10" s="8">
        <v>2.0</v>
      </c>
      <c r="R10" s="8">
        <v>2.0</v>
      </c>
      <c r="S10" s="8">
        <v>1.0</v>
      </c>
      <c r="T10" s="8">
        <v>1.0</v>
      </c>
      <c r="U10" s="8">
        <v>2.0</v>
      </c>
      <c r="V10" s="10">
        <f t="shared" si="1"/>
        <v>8</v>
      </c>
      <c r="W10" s="11">
        <f t="shared" si="2"/>
        <v>5</v>
      </c>
      <c r="X10" s="10" t="str">
        <f t="array" ref="X10">INDEX(Rubric!$B$12:$B$16,MATCH(W10,Rubric!$A$12:$A$16,0))</f>
        <v>Leader</v>
      </c>
    </row>
    <row r="11">
      <c r="A11" s="4" t="s">
        <v>80</v>
      </c>
      <c r="B11" s="4" t="s">
        <v>211</v>
      </c>
      <c r="C11" s="4">
        <v>57.0</v>
      </c>
      <c r="D11" s="4" t="s">
        <v>190</v>
      </c>
      <c r="E11" s="4" t="s">
        <v>32</v>
      </c>
      <c r="F11" s="4" t="s">
        <v>167</v>
      </c>
      <c r="G11" s="4" t="s">
        <v>212</v>
      </c>
      <c r="H11" s="4" t="s">
        <v>213</v>
      </c>
      <c r="I11" s="7">
        <v>100.0</v>
      </c>
      <c r="J11" s="4" t="s">
        <v>214</v>
      </c>
      <c r="K11" s="7">
        <v>82.4</v>
      </c>
      <c r="L11" s="4" t="s">
        <v>215</v>
      </c>
      <c r="M11" s="4" t="s">
        <v>216</v>
      </c>
      <c r="N11" s="4" t="s">
        <v>81</v>
      </c>
      <c r="O11" s="4" t="s">
        <v>60</v>
      </c>
      <c r="P11" s="4"/>
      <c r="Q11" s="8">
        <v>2.0</v>
      </c>
      <c r="R11" s="8">
        <v>2.0</v>
      </c>
      <c r="S11" s="8">
        <v>2.0</v>
      </c>
      <c r="T11" s="8">
        <v>2.0</v>
      </c>
      <c r="U11" s="8">
        <v>2.0</v>
      </c>
      <c r="V11" s="10">
        <f t="shared" si="1"/>
        <v>10</v>
      </c>
      <c r="W11" s="11">
        <f t="shared" si="2"/>
        <v>5</v>
      </c>
      <c r="X11" s="10" t="str">
        <f t="array" ref="X11">INDEX(Rubric!$B$12:$B$16,MATCH(W11,Rubric!$A$12:$A$16,0))</f>
        <v>Leader</v>
      </c>
    </row>
    <row r="12">
      <c r="A12" s="4" t="s">
        <v>84</v>
      </c>
      <c r="B12" s="4" t="s">
        <v>217</v>
      </c>
      <c r="C12" s="4">
        <v>13.0</v>
      </c>
      <c r="D12" s="4" t="s">
        <v>190</v>
      </c>
      <c r="E12" s="4" t="s">
        <v>218</v>
      </c>
      <c r="F12" s="4" t="s">
        <v>219</v>
      </c>
      <c r="G12" s="4" t="s">
        <v>219</v>
      </c>
      <c r="H12" s="4" t="s">
        <v>220</v>
      </c>
      <c r="I12" s="7"/>
      <c r="J12" s="4" t="s">
        <v>221</v>
      </c>
      <c r="K12" s="7">
        <v>60.0</v>
      </c>
      <c r="L12" s="4" t="s">
        <v>222</v>
      </c>
      <c r="M12" s="4" t="s">
        <v>223</v>
      </c>
      <c r="N12" s="4" t="s">
        <v>85</v>
      </c>
      <c r="O12" s="4" t="s">
        <v>164</v>
      </c>
      <c r="P12" s="4" t="s">
        <v>224</v>
      </c>
      <c r="Q12" s="8">
        <v>1.0</v>
      </c>
      <c r="R12" s="8">
        <v>0.0</v>
      </c>
      <c r="S12" s="8">
        <v>0.0</v>
      </c>
      <c r="T12" s="8">
        <v>1.0</v>
      </c>
      <c r="U12" s="8">
        <v>1.0</v>
      </c>
      <c r="V12" s="10">
        <f t="shared" si="1"/>
        <v>3</v>
      </c>
      <c r="W12" s="11">
        <f t="shared" si="2"/>
        <v>2</v>
      </c>
      <c r="X12" s="10" t="str">
        <f t="array" ref="X12">INDEX(Rubric!$B$12:$B$16,MATCH(W12,Rubric!$A$12:$A$16,0))</f>
        <v>Limited</v>
      </c>
    </row>
    <row r="13">
      <c r="A13" s="4" t="s">
        <v>88</v>
      </c>
      <c r="B13" s="4" t="s">
        <v>225</v>
      </c>
      <c r="C13" s="4">
        <v>7.0</v>
      </c>
      <c r="D13" s="4" t="s">
        <v>190</v>
      </c>
      <c r="E13" s="4" t="s">
        <v>226</v>
      </c>
      <c r="F13" s="4" t="s">
        <v>219</v>
      </c>
      <c r="G13" s="4" t="s">
        <v>219</v>
      </c>
      <c r="H13" s="4" t="s">
        <v>220</v>
      </c>
      <c r="I13" s="7"/>
      <c r="J13" s="4" t="s">
        <v>227</v>
      </c>
      <c r="K13" s="7">
        <v>60.0</v>
      </c>
      <c r="L13" s="4" t="s">
        <v>228</v>
      </c>
      <c r="M13" s="4" t="s">
        <v>229</v>
      </c>
      <c r="N13" s="4" t="s">
        <v>85</v>
      </c>
      <c r="O13" s="4" t="s">
        <v>164</v>
      </c>
      <c r="P13" s="4" t="s">
        <v>230</v>
      </c>
      <c r="Q13" s="8">
        <v>1.0</v>
      </c>
      <c r="R13" s="8">
        <v>0.0</v>
      </c>
      <c r="S13" s="8">
        <v>0.0</v>
      </c>
      <c r="T13" s="8">
        <v>1.0</v>
      </c>
      <c r="U13" s="8">
        <v>1.0</v>
      </c>
      <c r="V13" s="10">
        <f t="shared" si="1"/>
        <v>3</v>
      </c>
      <c r="W13" s="11">
        <f t="shared" si="2"/>
        <v>2</v>
      </c>
      <c r="X13" s="10" t="str">
        <f t="array" ref="X13">INDEX(Rubric!$B$12:$B$16,MATCH(W13,Rubric!$A$12:$A$16,0))</f>
        <v>Limited</v>
      </c>
    </row>
    <row r="14">
      <c r="A14" s="4" t="s">
        <v>90</v>
      </c>
      <c r="B14" s="4" t="s">
        <v>231</v>
      </c>
      <c r="C14" s="4">
        <v>15.0</v>
      </c>
      <c r="D14" s="4" t="s">
        <v>31</v>
      </c>
      <c r="E14" s="4" t="s">
        <v>232</v>
      </c>
      <c r="F14" s="4" t="s">
        <v>167</v>
      </c>
      <c r="G14" s="4" t="s">
        <v>233</v>
      </c>
      <c r="H14" s="4" t="s">
        <v>234</v>
      </c>
      <c r="I14" s="7"/>
      <c r="J14" s="4" t="s">
        <v>235</v>
      </c>
      <c r="K14" s="7">
        <v>70.0</v>
      </c>
      <c r="L14" s="4" t="s">
        <v>236</v>
      </c>
      <c r="M14" s="4" t="s">
        <v>237</v>
      </c>
      <c r="N14" s="4" t="s">
        <v>92</v>
      </c>
      <c r="O14" s="4" t="s">
        <v>164</v>
      </c>
      <c r="P14" s="4" t="s">
        <v>238</v>
      </c>
      <c r="Q14" s="8">
        <v>1.0</v>
      </c>
      <c r="R14" s="8">
        <v>1.0</v>
      </c>
      <c r="S14" s="8">
        <v>1.0</v>
      </c>
      <c r="T14" s="8">
        <v>1.0</v>
      </c>
      <c r="U14" s="8">
        <v>2.0</v>
      </c>
      <c r="V14" s="10">
        <f t="shared" si="1"/>
        <v>6</v>
      </c>
      <c r="W14" s="11">
        <f t="shared" si="2"/>
        <v>4</v>
      </c>
      <c r="X14" s="10" t="str">
        <f t="array" ref="X14">INDEX(Rubric!$B$12:$B$16,MATCH(W14,Rubric!$A$12:$A$16,0))</f>
        <v>Strong</v>
      </c>
    </row>
    <row r="15">
      <c r="A15" s="4" t="s">
        <v>97</v>
      </c>
      <c r="B15" s="4" t="s">
        <v>239</v>
      </c>
      <c r="C15" s="4">
        <v>31.0</v>
      </c>
      <c r="D15" s="4" t="s">
        <v>190</v>
      </c>
      <c r="E15" s="4" t="s">
        <v>32</v>
      </c>
      <c r="F15" s="4" t="s">
        <v>219</v>
      </c>
      <c r="G15" s="4" t="s">
        <v>219</v>
      </c>
      <c r="H15" s="4" t="s">
        <v>240</v>
      </c>
      <c r="I15" s="7"/>
      <c r="J15" s="4" t="s">
        <v>57</v>
      </c>
      <c r="K15" s="7">
        <v>73.0</v>
      </c>
      <c r="L15" s="4" t="s">
        <v>241</v>
      </c>
      <c r="M15" s="4" t="s">
        <v>242</v>
      </c>
      <c r="N15" s="4" t="s">
        <v>243</v>
      </c>
      <c r="O15" s="4" t="s">
        <v>60</v>
      </c>
      <c r="P15" s="4" t="s">
        <v>244</v>
      </c>
      <c r="Q15" s="8">
        <v>2.0</v>
      </c>
      <c r="R15" s="8">
        <v>0.0</v>
      </c>
      <c r="S15" s="8">
        <v>0.0</v>
      </c>
      <c r="T15" s="8">
        <v>1.0</v>
      </c>
      <c r="U15" s="8">
        <v>1.0</v>
      </c>
      <c r="V15" s="10">
        <f t="shared" si="1"/>
        <v>4</v>
      </c>
      <c r="W15" s="11">
        <f t="shared" si="2"/>
        <v>3</v>
      </c>
      <c r="X15" s="10" t="str">
        <f t="array" ref="X15">INDEX(Rubric!$B$12:$B$16,MATCH(W15,Rubric!$A$12:$A$16,0))</f>
        <v>Moderate</v>
      </c>
    </row>
    <row r="16">
      <c r="A16" s="4" t="s">
        <v>100</v>
      </c>
      <c r="B16" s="4" t="s">
        <v>245</v>
      </c>
      <c r="C16" s="4">
        <v>11.0</v>
      </c>
      <c r="D16" s="4" t="s">
        <v>190</v>
      </c>
      <c r="E16" s="4" t="s">
        <v>246</v>
      </c>
      <c r="F16" s="4" t="s">
        <v>219</v>
      </c>
      <c r="G16" s="4" t="s">
        <v>219</v>
      </c>
      <c r="H16" s="4" t="s">
        <v>220</v>
      </c>
      <c r="I16" s="7"/>
      <c r="J16" s="4" t="s">
        <v>57</v>
      </c>
      <c r="K16" s="7"/>
      <c r="L16" s="4" t="s">
        <v>57</v>
      </c>
      <c r="M16" s="4" t="s">
        <v>247</v>
      </c>
      <c r="N16" s="4" t="s">
        <v>219</v>
      </c>
      <c r="O16" s="4" t="s">
        <v>187</v>
      </c>
      <c r="P16" s="4" t="s">
        <v>248</v>
      </c>
      <c r="Q16" s="8">
        <v>0.0</v>
      </c>
      <c r="R16" s="8">
        <v>0.0</v>
      </c>
      <c r="S16" s="8">
        <v>0.0</v>
      </c>
      <c r="T16" s="8">
        <v>0.0</v>
      </c>
      <c r="U16" s="8">
        <v>1.0</v>
      </c>
      <c r="V16" s="10">
        <f t="shared" si="1"/>
        <v>1</v>
      </c>
      <c r="W16" s="11">
        <f t="shared" si="2"/>
        <v>1</v>
      </c>
      <c r="X16" s="10" t="str">
        <f t="array" ref="X16">INDEX(Rubric!$B$12:$B$16,MATCH(W16,Rubric!$A$12:$A$16,0))</f>
        <v>None / Undisclosed</v>
      </c>
    </row>
    <row r="17">
      <c r="A17" s="4" t="s">
        <v>106</v>
      </c>
      <c r="B17" s="4" t="s">
        <v>249</v>
      </c>
      <c r="C17" s="4">
        <v>10.0</v>
      </c>
      <c r="D17" s="4" t="s">
        <v>190</v>
      </c>
      <c r="E17" s="4" t="s">
        <v>246</v>
      </c>
      <c r="F17" s="4" t="s">
        <v>219</v>
      </c>
      <c r="G17" s="4" t="s">
        <v>219</v>
      </c>
      <c r="H17" s="4" t="s">
        <v>220</v>
      </c>
      <c r="I17" s="7"/>
      <c r="J17" s="4" t="s">
        <v>57</v>
      </c>
      <c r="K17" s="7"/>
      <c r="L17" s="4" t="s">
        <v>57</v>
      </c>
      <c r="M17" s="4" t="s">
        <v>250</v>
      </c>
      <c r="N17" s="4" t="s">
        <v>219</v>
      </c>
      <c r="O17" s="4" t="s">
        <v>187</v>
      </c>
      <c r="P17" s="4" t="s">
        <v>251</v>
      </c>
      <c r="Q17" s="8">
        <v>0.0</v>
      </c>
      <c r="R17" s="8">
        <v>0.0</v>
      </c>
      <c r="S17" s="8">
        <v>0.0</v>
      </c>
      <c r="T17" s="8">
        <v>0.0</v>
      </c>
      <c r="U17" s="8">
        <v>0.0</v>
      </c>
      <c r="V17" s="10">
        <f t="shared" si="1"/>
        <v>0</v>
      </c>
      <c r="W17" s="11">
        <f t="shared" si="2"/>
        <v>1</v>
      </c>
      <c r="X17" s="10" t="str">
        <f t="array" ref="X17">INDEX(Rubric!$B$12:$B$16,MATCH(W17,Rubric!$A$12:$A$16,0))</f>
        <v>None / Undisclosed</v>
      </c>
    </row>
    <row r="18">
      <c r="A18" s="4" t="s">
        <v>108</v>
      </c>
      <c r="B18" s="4" t="s">
        <v>252</v>
      </c>
      <c r="C18" s="4">
        <v>29.0</v>
      </c>
      <c r="D18" s="4" t="s">
        <v>190</v>
      </c>
      <c r="E18" s="4" t="s">
        <v>253</v>
      </c>
      <c r="F18" s="4" t="s">
        <v>167</v>
      </c>
      <c r="G18" s="4" t="s">
        <v>219</v>
      </c>
      <c r="H18" s="4" t="s">
        <v>254</v>
      </c>
      <c r="I18" s="7"/>
      <c r="J18" s="4" t="s">
        <v>255</v>
      </c>
      <c r="K18" s="7"/>
      <c r="L18" s="4" t="s">
        <v>57</v>
      </c>
      <c r="M18" s="4" t="s">
        <v>256</v>
      </c>
      <c r="N18" s="4" t="s">
        <v>257</v>
      </c>
      <c r="O18" s="4" t="s">
        <v>164</v>
      </c>
      <c r="P18" s="4" t="s">
        <v>258</v>
      </c>
      <c r="Q18" s="8">
        <v>1.0</v>
      </c>
      <c r="R18" s="8">
        <v>0.0</v>
      </c>
      <c r="S18" s="8">
        <v>0.0</v>
      </c>
      <c r="T18" s="8">
        <v>0.0</v>
      </c>
      <c r="U18" s="8">
        <v>1.0</v>
      </c>
      <c r="V18" s="10">
        <f t="shared" si="1"/>
        <v>2</v>
      </c>
      <c r="W18" s="11">
        <f t="shared" si="2"/>
        <v>2</v>
      </c>
      <c r="X18" s="10" t="str">
        <f t="array" ref="X18">INDEX(Rubric!$B$12:$B$16,MATCH(W18,Rubric!$A$12:$A$16,0))</f>
        <v>Limited</v>
      </c>
    </row>
    <row r="19">
      <c r="A19" s="4" t="s">
        <v>111</v>
      </c>
      <c r="B19" s="4" t="s">
        <v>259</v>
      </c>
      <c r="C19" s="4">
        <v>20.0</v>
      </c>
      <c r="D19" s="4" t="s">
        <v>190</v>
      </c>
      <c r="E19" s="4" t="s">
        <v>260</v>
      </c>
      <c r="F19" s="4" t="s">
        <v>219</v>
      </c>
      <c r="G19" s="4" t="s">
        <v>219</v>
      </c>
      <c r="H19" s="4" t="s">
        <v>261</v>
      </c>
      <c r="I19" s="7"/>
      <c r="J19" s="4" t="s">
        <v>262</v>
      </c>
      <c r="K19" s="7"/>
      <c r="L19" s="4" t="s">
        <v>263</v>
      </c>
      <c r="M19" s="4" t="s">
        <v>264</v>
      </c>
      <c r="N19" s="4" t="s">
        <v>219</v>
      </c>
      <c r="O19" s="4" t="s">
        <v>164</v>
      </c>
      <c r="P19" s="4" t="s">
        <v>265</v>
      </c>
      <c r="Q19" s="8">
        <v>1.0</v>
      </c>
      <c r="R19" s="8">
        <v>0.0</v>
      </c>
      <c r="S19" s="8">
        <v>0.0</v>
      </c>
      <c r="T19" s="8">
        <v>1.0</v>
      </c>
      <c r="U19" s="8">
        <v>1.0</v>
      </c>
      <c r="V19" s="10">
        <f t="shared" si="1"/>
        <v>3</v>
      </c>
      <c r="W19" s="11">
        <f t="shared" si="2"/>
        <v>2</v>
      </c>
      <c r="X19" s="10" t="str">
        <f t="array" ref="X19">INDEX(Rubric!$B$12:$B$16,MATCH(W19,Rubric!$A$12:$A$16,0))</f>
        <v>Limited</v>
      </c>
    </row>
    <row r="20">
      <c r="A20" s="4" t="s">
        <v>114</v>
      </c>
      <c r="B20" s="4" t="s">
        <v>266</v>
      </c>
      <c r="C20" s="4">
        <v>9.0</v>
      </c>
      <c r="D20" s="4" t="s">
        <v>190</v>
      </c>
      <c r="E20" s="4" t="s">
        <v>246</v>
      </c>
      <c r="F20" s="4" t="s">
        <v>219</v>
      </c>
      <c r="G20" s="4" t="s">
        <v>219</v>
      </c>
      <c r="H20" s="4" t="s">
        <v>219</v>
      </c>
      <c r="I20" s="7"/>
      <c r="J20" s="4" t="s">
        <v>57</v>
      </c>
      <c r="K20" s="7"/>
      <c r="L20" s="4" t="s">
        <v>57</v>
      </c>
      <c r="M20" s="4" t="s">
        <v>64</v>
      </c>
      <c r="N20" s="4" t="s">
        <v>219</v>
      </c>
      <c r="O20" s="4" t="s">
        <v>267</v>
      </c>
      <c r="P20" s="4"/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10">
        <f t="shared" si="1"/>
        <v>0</v>
      </c>
      <c r="W20" s="11">
        <f t="shared" si="2"/>
        <v>1</v>
      </c>
      <c r="X20" s="10" t="str">
        <f t="array" ref="X20">INDEX(Rubric!$B$12:$B$16,MATCH(W20,Rubric!$A$12:$A$16,0))</f>
        <v>None / Undisclosed</v>
      </c>
    </row>
    <row r="21" ht="15.75" customHeight="1">
      <c r="A21" s="4" t="s">
        <v>116</v>
      </c>
      <c r="B21" s="4" t="s">
        <v>268</v>
      </c>
      <c r="C21" s="4">
        <v>37.0</v>
      </c>
      <c r="D21" s="4" t="s">
        <v>269</v>
      </c>
      <c r="E21" s="4" t="s">
        <v>246</v>
      </c>
      <c r="F21" s="4" t="s">
        <v>219</v>
      </c>
      <c r="G21" s="4" t="s">
        <v>219</v>
      </c>
      <c r="H21" s="4" t="s">
        <v>219</v>
      </c>
      <c r="I21" s="7"/>
      <c r="J21" s="4" t="s">
        <v>57</v>
      </c>
      <c r="K21" s="7"/>
      <c r="L21" s="4" t="s">
        <v>57</v>
      </c>
      <c r="M21" s="4" t="s">
        <v>64</v>
      </c>
      <c r="N21" s="4" t="s">
        <v>219</v>
      </c>
      <c r="O21" s="4" t="s">
        <v>267</v>
      </c>
      <c r="P21" s="4"/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10">
        <f t="shared" si="1"/>
        <v>0</v>
      </c>
      <c r="W21" s="11">
        <f t="shared" si="2"/>
        <v>1</v>
      </c>
      <c r="X21" s="10" t="str">
        <f t="array" ref="X21">INDEX(Rubric!$B$12:$B$16,MATCH(W21,Rubric!$A$12:$A$16,0))</f>
        <v>None / Undisclosed</v>
      </c>
    </row>
    <row r="22" ht="15.75" customHeight="1">
      <c r="A22" s="4" t="s">
        <v>118</v>
      </c>
      <c r="B22" s="4" t="s">
        <v>270</v>
      </c>
      <c r="C22" s="4">
        <v>6.0</v>
      </c>
      <c r="D22" s="4" t="s">
        <v>190</v>
      </c>
      <c r="E22" s="4" t="s">
        <v>271</v>
      </c>
      <c r="F22" s="4" t="s">
        <v>219</v>
      </c>
      <c r="G22" s="4" t="s">
        <v>219</v>
      </c>
      <c r="H22" s="4" t="s">
        <v>220</v>
      </c>
      <c r="I22" s="7"/>
      <c r="J22" s="4" t="s">
        <v>57</v>
      </c>
      <c r="K22" s="7"/>
      <c r="L22" s="4" t="s">
        <v>272</v>
      </c>
      <c r="M22" s="4" t="s">
        <v>273</v>
      </c>
      <c r="N22" s="4" t="s">
        <v>274</v>
      </c>
      <c r="O22" s="4" t="s">
        <v>60</v>
      </c>
      <c r="P22" s="4" t="s">
        <v>275</v>
      </c>
      <c r="Q22" s="8">
        <v>1.0</v>
      </c>
      <c r="R22" s="8">
        <v>0.0</v>
      </c>
      <c r="S22" s="8">
        <v>0.0</v>
      </c>
      <c r="T22" s="8">
        <v>0.0</v>
      </c>
      <c r="U22" s="8">
        <v>2.0</v>
      </c>
      <c r="V22" s="10">
        <f t="shared" si="1"/>
        <v>3</v>
      </c>
      <c r="W22" s="11">
        <f t="shared" si="2"/>
        <v>2</v>
      </c>
      <c r="X22" s="10" t="str">
        <f t="array" ref="X22">INDEX(Rubric!$B$12:$B$16,MATCH(W22,Rubric!$A$12:$A$16,0))</f>
        <v>Limited</v>
      </c>
    </row>
    <row r="23" ht="15.75" customHeight="1">
      <c r="A23" s="4" t="s">
        <v>121</v>
      </c>
      <c r="B23" s="4" t="s">
        <v>276</v>
      </c>
      <c r="C23" s="4">
        <v>4.0</v>
      </c>
      <c r="D23" s="4" t="s">
        <v>190</v>
      </c>
      <c r="E23" s="4" t="s">
        <v>246</v>
      </c>
      <c r="F23" s="4" t="s">
        <v>219</v>
      </c>
      <c r="G23" s="4" t="s">
        <v>219</v>
      </c>
      <c r="H23" s="4" t="s">
        <v>219</v>
      </c>
      <c r="I23" s="7"/>
      <c r="J23" s="4" t="s">
        <v>57</v>
      </c>
      <c r="K23" s="7"/>
      <c r="L23" s="4" t="s">
        <v>277</v>
      </c>
      <c r="M23" s="4" t="s">
        <v>278</v>
      </c>
      <c r="N23" s="4" t="s">
        <v>219</v>
      </c>
      <c r="O23" s="4" t="s">
        <v>164</v>
      </c>
      <c r="P23" s="4"/>
      <c r="Q23" s="8">
        <v>0.0</v>
      </c>
      <c r="R23" s="8">
        <v>0.0</v>
      </c>
      <c r="S23" s="8">
        <v>0.0</v>
      </c>
      <c r="T23" s="8">
        <v>0.0</v>
      </c>
      <c r="U23" s="8">
        <v>1.0</v>
      </c>
      <c r="V23" s="10">
        <f t="shared" si="1"/>
        <v>1</v>
      </c>
      <c r="W23" s="11">
        <f t="shared" si="2"/>
        <v>1</v>
      </c>
      <c r="X23" s="10" t="str">
        <f t="array" ref="X23">INDEX(Rubric!$B$12:$B$16,MATCH(W23,Rubric!$A$12:$A$16,0))</f>
        <v>None / Undisclosed</v>
      </c>
    </row>
    <row r="24" ht="15.75" customHeight="1">
      <c r="A24" s="4" t="s">
        <v>123</v>
      </c>
      <c r="B24" s="4" t="s">
        <v>279</v>
      </c>
      <c r="C24" s="4">
        <v>3.0</v>
      </c>
      <c r="D24" s="4" t="s">
        <v>190</v>
      </c>
      <c r="E24" s="4" t="s">
        <v>246</v>
      </c>
      <c r="F24" s="4" t="s">
        <v>219</v>
      </c>
      <c r="G24" s="4" t="s">
        <v>219</v>
      </c>
      <c r="H24" s="4" t="s">
        <v>219</v>
      </c>
      <c r="I24" s="7"/>
      <c r="J24" s="4" t="s">
        <v>57</v>
      </c>
      <c r="K24" s="7"/>
      <c r="L24" s="4" t="s">
        <v>57</v>
      </c>
      <c r="M24" s="4" t="s">
        <v>64</v>
      </c>
      <c r="N24" s="4" t="s">
        <v>219</v>
      </c>
      <c r="O24" s="4" t="s">
        <v>267</v>
      </c>
      <c r="P24" s="4"/>
      <c r="Q24" s="8">
        <v>0.0</v>
      </c>
      <c r="R24" s="8">
        <v>0.0</v>
      </c>
      <c r="S24" s="8">
        <v>0.0</v>
      </c>
      <c r="T24" s="8">
        <v>0.0</v>
      </c>
      <c r="U24" s="8">
        <v>0.0</v>
      </c>
      <c r="V24" s="10">
        <f t="shared" si="1"/>
        <v>0</v>
      </c>
      <c r="W24" s="11">
        <f t="shared" si="2"/>
        <v>1</v>
      </c>
      <c r="X24" s="10" t="str">
        <f t="array" ref="X24">INDEX(Rubric!$B$12:$B$16,MATCH(W24,Rubric!$A$12:$A$16,0))</f>
        <v>None / Undisclosed</v>
      </c>
    </row>
    <row r="25" ht="15.75" customHeight="1">
      <c r="A25" s="4" t="s">
        <v>125</v>
      </c>
      <c r="B25" s="4" t="s">
        <v>280</v>
      </c>
      <c r="C25" s="4">
        <v>3.0</v>
      </c>
      <c r="D25" s="4" t="s">
        <v>190</v>
      </c>
      <c r="E25" s="4" t="s">
        <v>246</v>
      </c>
      <c r="F25" s="4" t="s">
        <v>219</v>
      </c>
      <c r="G25" s="4" t="s">
        <v>219</v>
      </c>
      <c r="H25" s="4" t="s">
        <v>219</v>
      </c>
      <c r="I25" s="7"/>
      <c r="J25" s="4" t="s">
        <v>57</v>
      </c>
      <c r="K25" s="7"/>
      <c r="L25" s="4" t="s">
        <v>281</v>
      </c>
      <c r="M25" s="4" t="s">
        <v>282</v>
      </c>
      <c r="N25" s="4" t="s">
        <v>219</v>
      </c>
      <c r="O25" s="4" t="s">
        <v>164</v>
      </c>
      <c r="P25" s="4" t="s">
        <v>283</v>
      </c>
      <c r="Q25" s="8">
        <v>0.0</v>
      </c>
      <c r="R25" s="8">
        <v>0.0</v>
      </c>
      <c r="S25" s="8">
        <v>0.0</v>
      </c>
      <c r="T25" s="8">
        <v>0.0</v>
      </c>
      <c r="U25" s="8">
        <v>1.0</v>
      </c>
      <c r="V25" s="10">
        <f t="shared" si="1"/>
        <v>1</v>
      </c>
      <c r="W25" s="11">
        <f t="shared" si="2"/>
        <v>1</v>
      </c>
      <c r="X25" s="10" t="str">
        <f t="array" ref="X25">INDEX(Rubric!$B$12:$B$16,MATCH(W25,Rubric!$A$12:$A$16,0))</f>
        <v>None / Undisclosed</v>
      </c>
    </row>
    <row r="26" ht="15.75" customHeight="1">
      <c r="A26" s="4" t="s">
        <v>127</v>
      </c>
      <c r="B26" s="4" t="s">
        <v>284</v>
      </c>
      <c r="C26" s="4">
        <v>4.0</v>
      </c>
      <c r="D26" s="4" t="s">
        <v>269</v>
      </c>
      <c r="E26" s="4" t="s">
        <v>246</v>
      </c>
      <c r="F26" s="4" t="s">
        <v>219</v>
      </c>
      <c r="G26" s="4" t="s">
        <v>219</v>
      </c>
      <c r="H26" s="4" t="s">
        <v>219</v>
      </c>
      <c r="I26" s="7"/>
      <c r="J26" s="4" t="s">
        <v>57</v>
      </c>
      <c r="K26" s="7"/>
      <c r="L26" s="4" t="s">
        <v>57</v>
      </c>
      <c r="M26" s="4" t="s">
        <v>64</v>
      </c>
      <c r="N26" s="4" t="s">
        <v>219</v>
      </c>
      <c r="O26" s="4" t="s">
        <v>267</v>
      </c>
      <c r="P26" s="4"/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10">
        <f t="shared" si="1"/>
        <v>0</v>
      </c>
      <c r="W26" s="11">
        <f t="shared" si="2"/>
        <v>1</v>
      </c>
      <c r="X26" s="10" t="str">
        <f t="array" ref="X26">INDEX(Rubric!$B$12:$B$16,MATCH(W26,Rubric!$A$12:$A$16,0))</f>
        <v>None / Undisclosed</v>
      </c>
    </row>
    <row r="27" ht="15.75" customHeight="1">
      <c r="A27" s="4" t="s">
        <v>129</v>
      </c>
      <c r="B27" s="4" t="s">
        <v>285</v>
      </c>
      <c r="C27" s="4">
        <v>9.0</v>
      </c>
      <c r="D27" s="4" t="s">
        <v>190</v>
      </c>
      <c r="E27" s="4" t="s">
        <v>246</v>
      </c>
      <c r="F27" s="4" t="s">
        <v>219</v>
      </c>
      <c r="G27" s="4" t="s">
        <v>219</v>
      </c>
      <c r="H27" s="4" t="s">
        <v>219</v>
      </c>
      <c r="I27" s="7"/>
      <c r="J27" s="4" t="s">
        <v>57</v>
      </c>
      <c r="K27" s="7"/>
      <c r="L27" s="4" t="s">
        <v>57</v>
      </c>
      <c r="M27" s="4" t="s">
        <v>286</v>
      </c>
      <c r="N27" s="4" t="s">
        <v>219</v>
      </c>
      <c r="O27" s="4" t="s">
        <v>267</v>
      </c>
      <c r="P27" s="4" t="s">
        <v>287</v>
      </c>
      <c r="Q27" s="8">
        <v>0.0</v>
      </c>
      <c r="R27" s="8">
        <v>0.0</v>
      </c>
      <c r="S27" s="8">
        <v>0.0</v>
      </c>
      <c r="T27" s="8">
        <v>0.0</v>
      </c>
      <c r="U27" s="8">
        <v>0.0</v>
      </c>
      <c r="V27" s="10">
        <f t="shared" si="1"/>
        <v>0</v>
      </c>
      <c r="W27" s="11">
        <f t="shared" si="2"/>
        <v>1</v>
      </c>
      <c r="X27" s="10" t="str">
        <f t="array" ref="X27">INDEX(Rubric!$B$12:$B$16,MATCH(W27,Rubric!$A$12:$A$16,0))</f>
        <v>None / Undisclosed</v>
      </c>
    </row>
    <row r="28" ht="15.75" customHeight="1">
      <c r="A28" s="4" t="s">
        <v>131</v>
      </c>
      <c r="B28" s="4" t="s">
        <v>288</v>
      </c>
      <c r="C28" s="4">
        <v>9.0</v>
      </c>
      <c r="D28" s="4" t="s">
        <v>269</v>
      </c>
      <c r="E28" s="4" t="s">
        <v>246</v>
      </c>
      <c r="F28" s="4" t="s">
        <v>219</v>
      </c>
      <c r="G28" s="4" t="s">
        <v>219</v>
      </c>
      <c r="H28" s="4" t="s">
        <v>219</v>
      </c>
      <c r="I28" s="7"/>
      <c r="J28" s="4" t="s">
        <v>57</v>
      </c>
      <c r="K28" s="7"/>
      <c r="L28" s="4" t="s">
        <v>57</v>
      </c>
      <c r="M28" s="4" t="s">
        <v>64</v>
      </c>
      <c r="N28" s="4" t="s">
        <v>219</v>
      </c>
      <c r="O28" s="4" t="s">
        <v>267</v>
      </c>
      <c r="P28" s="4"/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10">
        <f t="shared" si="1"/>
        <v>0</v>
      </c>
      <c r="W28" s="11">
        <f t="shared" si="2"/>
        <v>1</v>
      </c>
      <c r="X28" s="10" t="str">
        <f t="array" ref="X28">INDEX(Rubric!$B$12:$B$16,MATCH(W28,Rubric!$A$12:$A$16,0))</f>
        <v>None / Undisclosed</v>
      </c>
    </row>
    <row r="29" ht="15.75" customHeight="1">
      <c r="A29" s="4" t="s">
        <v>133</v>
      </c>
      <c r="B29" s="4" t="s">
        <v>289</v>
      </c>
      <c r="C29" s="4">
        <v>424.0</v>
      </c>
      <c r="D29" s="4" t="s">
        <v>290</v>
      </c>
      <c r="E29" s="4" t="s">
        <v>32</v>
      </c>
      <c r="F29" s="4" t="s">
        <v>167</v>
      </c>
      <c r="G29" s="4" t="s">
        <v>64</v>
      </c>
      <c r="H29" s="4" t="s">
        <v>291</v>
      </c>
      <c r="I29" s="7">
        <v>23.0</v>
      </c>
      <c r="J29" s="4" t="s">
        <v>292</v>
      </c>
      <c r="K29" s="7"/>
      <c r="L29" s="4" t="s">
        <v>293</v>
      </c>
      <c r="M29" s="4" t="s">
        <v>294</v>
      </c>
      <c r="N29" s="4" t="s">
        <v>135</v>
      </c>
      <c r="O29" s="4" t="s">
        <v>164</v>
      </c>
      <c r="P29" s="4"/>
      <c r="Q29" s="8">
        <v>2.0</v>
      </c>
      <c r="R29" s="8">
        <v>1.0</v>
      </c>
      <c r="S29" s="8">
        <v>1.0</v>
      </c>
      <c r="T29" s="8">
        <v>1.0</v>
      </c>
      <c r="U29" s="8">
        <v>1.0</v>
      </c>
      <c r="V29" s="10">
        <f t="shared" si="1"/>
        <v>6</v>
      </c>
      <c r="W29" s="11">
        <f t="shared" si="2"/>
        <v>4</v>
      </c>
      <c r="X29" s="10" t="str">
        <f t="array" ref="X29">INDEX(Rubric!$B$12:$B$16,MATCH(W29,Rubric!$A$12:$A$16,0))</f>
        <v>Strong</v>
      </c>
    </row>
    <row r="30" ht="15.75" customHeight="1">
      <c r="A30" s="4" t="s">
        <v>136</v>
      </c>
      <c r="B30" s="4" t="s">
        <v>295</v>
      </c>
      <c r="C30" s="4">
        <v>184.0</v>
      </c>
      <c r="D30" s="4" t="s">
        <v>296</v>
      </c>
      <c r="E30" s="4" t="s">
        <v>32</v>
      </c>
      <c r="F30" s="4" t="s">
        <v>167</v>
      </c>
      <c r="G30" s="4" t="s">
        <v>219</v>
      </c>
      <c r="H30" s="4" t="s">
        <v>297</v>
      </c>
      <c r="I30" s="7"/>
      <c r="J30" s="4" t="s">
        <v>298</v>
      </c>
      <c r="K30" s="7">
        <v>66.0</v>
      </c>
      <c r="L30" s="4" t="s">
        <v>299</v>
      </c>
      <c r="M30" s="4" t="s">
        <v>300</v>
      </c>
      <c r="N30" s="4" t="s">
        <v>137</v>
      </c>
      <c r="O30" s="4" t="s">
        <v>60</v>
      </c>
      <c r="P30" s="4" t="s">
        <v>301</v>
      </c>
      <c r="Q30" s="8">
        <v>2.0</v>
      </c>
      <c r="R30" s="8">
        <v>1.0</v>
      </c>
      <c r="S30" s="8">
        <v>0.0</v>
      </c>
      <c r="T30" s="8">
        <v>1.0</v>
      </c>
      <c r="U30" s="8">
        <v>1.0</v>
      </c>
      <c r="V30" s="10">
        <f t="shared" si="1"/>
        <v>5</v>
      </c>
      <c r="W30" s="11">
        <f t="shared" si="2"/>
        <v>3</v>
      </c>
      <c r="X30" s="10" t="str">
        <f t="array" ref="X30">INDEX(Rubric!$B$12:$B$16,MATCH(W30,Rubric!$A$12:$A$16,0))</f>
        <v>Moderate</v>
      </c>
    </row>
    <row r="31" ht="15.75" customHeight="1">
      <c r="A31" s="4" t="s">
        <v>138</v>
      </c>
      <c r="B31" s="4" t="s">
        <v>302</v>
      </c>
      <c r="C31" s="4">
        <v>151.0</v>
      </c>
      <c r="D31" s="4" t="s">
        <v>296</v>
      </c>
      <c r="E31" s="4" t="s">
        <v>32</v>
      </c>
      <c r="F31" s="4" t="s">
        <v>303</v>
      </c>
      <c r="G31" s="4" t="s">
        <v>304</v>
      </c>
      <c r="H31" s="4" t="s">
        <v>305</v>
      </c>
      <c r="I31" s="7"/>
      <c r="J31" s="4" t="s">
        <v>306</v>
      </c>
      <c r="K31" s="7">
        <v>70.0</v>
      </c>
      <c r="L31" s="4" t="s">
        <v>307</v>
      </c>
      <c r="M31" s="4" t="s">
        <v>308</v>
      </c>
      <c r="N31" s="4" t="s">
        <v>309</v>
      </c>
      <c r="O31" s="4" t="s">
        <v>60</v>
      </c>
      <c r="P31" s="4"/>
      <c r="Q31" s="8">
        <v>2.0</v>
      </c>
      <c r="R31" s="8">
        <v>1.0</v>
      </c>
      <c r="S31" s="8">
        <v>0.0</v>
      </c>
      <c r="T31" s="8">
        <v>1.0</v>
      </c>
      <c r="U31" s="8">
        <v>1.0</v>
      </c>
      <c r="V31" s="10">
        <f t="shared" si="1"/>
        <v>5</v>
      </c>
      <c r="W31" s="11">
        <f t="shared" si="2"/>
        <v>3</v>
      </c>
      <c r="X31" s="10" t="str">
        <f t="array" ref="X31">INDEX(Rubric!$B$12:$B$16,MATCH(W31,Rubric!$A$12:$A$16,0))</f>
        <v>Moderate</v>
      </c>
    </row>
    <row r="32" ht="15.75" customHeight="1">
      <c r="A32" s="4" t="s">
        <v>140</v>
      </c>
      <c r="B32" s="4" t="s">
        <v>310</v>
      </c>
      <c r="C32" s="4">
        <v>179.0</v>
      </c>
      <c r="D32" s="4" t="s">
        <v>296</v>
      </c>
      <c r="E32" s="4" t="s">
        <v>246</v>
      </c>
      <c r="F32" s="4" t="s">
        <v>219</v>
      </c>
      <c r="G32" s="4" t="s">
        <v>219</v>
      </c>
      <c r="H32" s="4" t="s">
        <v>311</v>
      </c>
      <c r="I32" s="7"/>
      <c r="J32" s="4" t="s">
        <v>57</v>
      </c>
      <c r="K32" s="7"/>
      <c r="L32" s="4" t="s">
        <v>57</v>
      </c>
      <c r="M32" s="4" t="s">
        <v>312</v>
      </c>
      <c r="N32" s="4" t="s">
        <v>219</v>
      </c>
      <c r="O32" s="4" t="s">
        <v>187</v>
      </c>
      <c r="P32" s="4" t="s">
        <v>313</v>
      </c>
      <c r="Q32" s="8">
        <v>0.0</v>
      </c>
      <c r="R32" s="8">
        <v>0.0</v>
      </c>
      <c r="S32" s="8">
        <v>0.0</v>
      </c>
      <c r="T32" s="8">
        <v>0.0</v>
      </c>
      <c r="U32" s="8">
        <v>0.0</v>
      </c>
      <c r="V32" s="10">
        <f t="shared" si="1"/>
        <v>0</v>
      </c>
      <c r="W32" s="11">
        <f t="shared" si="2"/>
        <v>1</v>
      </c>
      <c r="X32" s="10" t="str">
        <f t="array" ref="X32">INDEX(Rubric!$B$12:$B$16,MATCH(W32,Rubric!$A$12:$A$16,0))</f>
        <v>None / Undisclosed</v>
      </c>
    </row>
    <row r="33" ht="15.75" customHeight="1">
      <c r="A33" s="4" t="s">
        <v>142</v>
      </c>
      <c r="B33" s="4" t="s">
        <v>314</v>
      </c>
      <c r="C33" s="4">
        <v>174.0</v>
      </c>
      <c r="D33" s="4" t="s">
        <v>296</v>
      </c>
      <c r="E33" s="4" t="s">
        <v>32</v>
      </c>
      <c r="F33" s="4" t="s">
        <v>315</v>
      </c>
      <c r="G33" s="4" t="s">
        <v>316</v>
      </c>
      <c r="H33" s="4" t="s">
        <v>317</v>
      </c>
      <c r="I33" s="7">
        <v>33.0</v>
      </c>
      <c r="J33" s="4" t="s">
        <v>318</v>
      </c>
      <c r="K33" s="7">
        <v>63.0</v>
      </c>
      <c r="L33" s="4" t="s">
        <v>319</v>
      </c>
      <c r="M33" s="4" t="s">
        <v>320</v>
      </c>
      <c r="N33" s="4" t="s">
        <v>143</v>
      </c>
      <c r="O33" s="4" t="s">
        <v>60</v>
      </c>
      <c r="P33" s="4"/>
      <c r="Q33" s="8">
        <v>2.0</v>
      </c>
      <c r="R33" s="8">
        <v>2.0</v>
      </c>
      <c r="S33" s="8">
        <v>1.0</v>
      </c>
      <c r="T33" s="8">
        <v>1.0</v>
      </c>
      <c r="U33" s="8">
        <v>2.0</v>
      </c>
      <c r="V33" s="10">
        <f t="shared" si="1"/>
        <v>8</v>
      </c>
      <c r="W33" s="11">
        <f t="shared" si="2"/>
        <v>5</v>
      </c>
      <c r="X33" s="10" t="str">
        <f t="array" ref="X33">INDEX(Rubric!$B$12:$B$16,MATCH(W33,Rubric!$A$12:$A$16,0))</f>
        <v>Leader</v>
      </c>
    </row>
    <row r="34" ht="15.75" customHeight="1">
      <c r="A34" s="4" t="s">
        <v>145</v>
      </c>
      <c r="B34" s="4" t="s">
        <v>321</v>
      </c>
      <c r="C34" s="4">
        <v>153.0</v>
      </c>
      <c r="D34" s="4" t="s">
        <v>296</v>
      </c>
      <c r="E34" s="4" t="s">
        <v>32</v>
      </c>
      <c r="F34" s="4" t="s">
        <v>322</v>
      </c>
      <c r="G34" s="4" t="s">
        <v>219</v>
      </c>
      <c r="H34" s="4" t="s">
        <v>323</v>
      </c>
      <c r="I34" s="7">
        <v>1.0</v>
      </c>
      <c r="J34" s="4" t="s">
        <v>324</v>
      </c>
      <c r="K34" s="7"/>
      <c r="L34" s="4" t="s">
        <v>325</v>
      </c>
      <c r="M34" s="4" t="s">
        <v>326</v>
      </c>
      <c r="N34" s="4" t="s">
        <v>146</v>
      </c>
      <c r="O34" s="4" t="s">
        <v>60</v>
      </c>
      <c r="P34" s="4"/>
      <c r="Q34" s="8">
        <v>2.0</v>
      </c>
      <c r="R34" s="8">
        <v>1.0</v>
      </c>
      <c r="S34" s="8">
        <v>0.0</v>
      </c>
      <c r="T34" s="8">
        <v>1.0</v>
      </c>
      <c r="U34" s="8">
        <v>1.0</v>
      </c>
      <c r="V34" s="10">
        <f t="shared" si="1"/>
        <v>5</v>
      </c>
      <c r="W34" s="11">
        <f t="shared" si="2"/>
        <v>3</v>
      </c>
      <c r="X34" s="10" t="str">
        <f t="array" ref="X34">INDEX(Rubric!$B$12:$B$16,MATCH(W34,Rubric!$A$12:$A$16,0))</f>
        <v>Moderate</v>
      </c>
    </row>
    <row r="35" ht="15.75" customHeight="1">
      <c r="A35" s="4" t="s">
        <v>147</v>
      </c>
      <c r="B35" s="4" t="s">
        <v>327</v>
      </c>
      <c r="C35" s="4">
        <v>164.0</v>
      </c>
      <c r="D35" s="4" t="s">
        <v>290</v>
      </c>
      <c r="E35" s="4" t="s">
        <v>246</v>
      </c>
      <c r="F35" s="4" t="s">
        <v>219</v>
      </c>
      <c r="G35" s="4" t="s">
        <v>219</v>
      </c>
      <c r="H35" s="4" t="s">
        <v>219</v>
      </c>
      <c r="I35" s="7"/>
      <c r="J35" s="4" t="s">
        <v>57</v>
      </c>
      <c r="K35" s="7"/>
      <c r="L35" s="4" t="s">
        <v>57</v>
      </c>
      <c r="M35" s="4" t="s">
        <v>64</v>
      </c>
      <c r="N35" s="4" t="s">
        <v>219</v>
      </c>
      <c r="O35" s="4" t="s">
        <v>267</v>
      </c>
      <c r="P35" s="4"/>
      <c r="Q35" s="8">
        <v>0.0</v>
      </c>
      <c r="R35" s="8">
        <v>0.0</v>
      </c>
      <c r="S35" s="8">
        <v>0.0</v>
      </c>
      <c r="T35" s="8">
        <v>0.0</v>
      </c>
      <c r="U35" s="8">
        <v>0.0</v>
      </c>
      <c r="V35" s="10">
        <f t="shared" si="1"/>
        <v>0</v>
      </c>
      <c r="W35" s="11">
        <f t="shared" si="2"/>
        <v>1</v>
      </c>
      <c r="X35" s="10" t="str">
        <f t="array" ref="X35">INDEX(Rubric!$B$12:$B$16,MATCH(W35,Rubric!$A$12:$A$16,0))</f>
        <v>None / Undisclosed</v>
      </c>
    </row>
    <row r="36" ht="15.75" customHeight="1">
      <c r="A36" s="4" t="s">
        <v>149</v>
      </c>
      <c r="B36" s="4" t="s">
        <v>328</v>
      </c>
      <c r="C36" s="4">
        <v>99.0</v>
      </c>
      <c r="D36" s="4" t="s">
        <v>290</v>
      </c>
      <c r="E36" s="4" t="s">
        <v>246</v>
      </c>
      <c r="F36" s="4" t="s">
        <v>219</v>
      </c>
      <c r="G36" s="4" t="s">
        <v>219</v>
      </c>
      <c r="H36" s="4" t="s">
        <v>219</v>
      </c>
      <c r="I36" s="7"/>
      <c r="J36" s="4" t="s">
        <v>57</v>
      </c>
      <c r="K36" s="7"/>
      <c r="L36" s="4" t="s">
        <v>57</v>
      </c>
      <c r="M36" s="4" t="s">
        <v>329</v>
      </c>
      <c r="N36" s="4" t="s">
        <v>219</v>
      </c>
      <c r="O36" s="4" t="s">
        <v>267</v>
      </c>
      <c r="P36" s="4" t="s">
        <v>330</v>
      </c>
      <c r="Q36" s="8">
        <v>0.0</v>
      </c>
      <c r="R36" s="8">
        <v>0.0</v>
      </c>
      <c r="S36" s="8">
        <v>0.0</v>
      </c>
      <c r="T36" s="8">
        <v>0.0</v>
      </c>
      <c r="U36" s="8">
        <v>1.0</v>
      </c>
      <c r="V36" s="10">
        <f t="shared" si="1"/>
        <v>1</v>
      </c>
      <c r="W36" s="11">
        <f t="shared" si="2"/>
        <v>1</v>
      </c>
      <c r="X36" s="10" t="str">
        <f t="array" ref="X36">INDEX(Rubric!$B$12:$B$16,MATCH(W36,Rubric!$A$12:$A$16,0))</f>
        <v>None / Undisclosed</v>
      </c>
    </row>
    <row r="37" ht="15.75" customHeight="1">
      <c r="A37" s="4" t="s">
        <v>151</v>
      </c>
      <c r="B37" s="4" t="s">
        <v>328</v>
      </c>
      <c r="C37" s="4">
        <v>10.0</v>
      </c>
      <c r="D37" s="4" t="s">
        <v>290</v>
      </c>
      <c r="E37" s="4" t="s">
        <v>246</v>
      </c>
      <c r="F37" s="4" t="s">
        <v>219</v>
      </c>
      <c r="G37" s="4" t="s">
        <v>219</v>
      </c>
      <c r="H37" s="4" t="s">
        <v>219</v>
      </c>
      <c r="I37" s="7"/>
      <c r="J37" s="4" t="s">
        <v>57</v>
      </c>
      <c r="K37" s="7"/>
      <c r="L37" s="4" t="s">
        <v>57</v>
      </c>
      <c r="M37" s="4" t="s">
        <v>331</v>
      </c>
      <c r="N37" s="4" t="s">
        <v>219</v>
      </c>
      <c r="O37" s="4" t="s">
        <v>267</v>
      </c>
      <c r="P37" s="4" t="s">
        <v>332</v>
      </c>
      <c r="Q37" s="8">
        <v>0.0</v>
      </c>
      <c r="R37" s="8">
        <v>0.0</v>
      </c>
      <c r="S37" s="8">
        <v>0.0</v>
      </c>
      <c r="T37" s="8">
        <v>0.0</v>
      </c>
      <c r="U37" s="8">
        <v>1.0</v>
      </c>
      <c r="V37" s="10">
        <f t="shared" si="1"/>
        <v>1</v>
      </c>
      <c r="W37" s="11">
        <f t="shared" si="2"/>
        <v>1</v>
      </c>
      <c r="X37" s="10" t="str">
        <f t="array" ref="X37">INDEX(Rubric!$B$12:$B$16,MATCH(W37,Rubric!$A$12:$A$16,0))</f>
        <v>None / Undisclosed</v>
      </c>
    </row>
    <row r="38" ht="15.75" customHeight="1">
      <c r="A38" s="4" t="s">
        <v>153</v>
      </c>
      <c r="B38" s="4" t="s">
        <v>333</v>
      </c>
      <c r="C38" s="4">
        <v>35.0</v>
      </c>
      <c r="D38" s="4" t="s">
        <v>290</v>
      </c>
      <c r="E38" s="4" t="s">
        <v>32</v>
      </c>
      <c r="F38" s="4" t="s">
        <v>167</v>
      </c>
      <c r="G38" s="4" t="s">
        <v>64</v>
      </c>
      <c r="H38" s="4" t="s">
        <v>334</v>
      </c>
      <c r="I38" s="7"/>
      <c r="J38" s="4" t="s">
        <v>335</v>
      </c>
      <c r="K38" s="7"/>
      <c r="L38" s="4" t="s">
        <v>336</v>
      </c>
      <c r="M38" s="4" t="s">
        <v>337</v>
      </c>
      <c r="N38" s="4" t="s">
        <v>338</v>
      </c>
      <c r="O38" s="4" t="s">
        <v>164</v>
      </c>
      <c r="P38" s="4"/>
      <c r="Q38" s="8">
        <v>2.0</v>
      </c>
      <c r="R38" s="8">
        <v>1.0</v>
      </c>
      <c r="S38" s="8">
        <v>0.0</v>
      </c>
      <c r="T38" s="8">
        <v>1.0</v>
      </c>
      <c r="U38" s="8">
        <v>2.0</v>
      </c>
      <c r="V38" s="10">
        <f t="shared" si="1"/>
        <v>6</v>
      </c>
      <c r="W38" s="11">
        <f t="shared" si="2"/>
        <v>4</v>
      </c>
      <c r="X38" s="10" t="str">
        <f t="array" ref="X38">INDEX(Rubric!$B$12:$B$16,MATCH(W38,Rubric!$A$12:$A$16,0))</f>
        <v>Strong</v>
      </c>
    </row>
    <row r="39" ht="15.75" customHeight="1">
      <c r="A39" s="4" t="s">
        <v>155</v>
      </c>
      <c r="B39" s="4" t="s">
        <v>339</v>
      </c>
      <c r="C39" s="4">
        <v>46.0</v>
      </c>
      <c r="D39" s="4" t="s">
        <v>290</v>
      </c>
      <c r="E39" s="4" t="s">
        <v>340</v>
      </c>
      <c r="F39" s="4" t="s">
        <v>219</v>
      </c>
      <c r="G39" s="4" t="s">
        <v>219</v>
      </c>
      <c r="H39" s="4" t="s">
        <v>341</v>
      </c>
      <c r="I39" s="7"/>
      <c r="J39" s="4" t="s">
        <v>57</v>
      </c>
      <c r="K39" s="7"/>
      <c r="L39" s="4" t="s">
        <v>57</v>
      </c>
      <c r="M39" s="4" t="s">
        <v>342</v>
      </c>
      <c r="N39" s="4" t="s">
        <v>156</v>
      </c>
      <c r="O39" s="4" t="s">
        <v>164</v>
      </c>
      <c r="P39" s="4"/>
      <c r="Q39" s="8">
        <v>1.0</v>
      </c>
      <c r="R39" s="8">
        <v>0.0</v>
      </c>
      <c r="S39" s="8">
        <v>0.0</v>
      </c>
      <c r="T39" s="8">
        <v>0.0</v>
      </c>
      <c r="U39" s="8">
        <v>0.0</v>
      </c>
      <c r="V39" s="10">
        <f t="shared" si="1"/>
        <v>1</v>
      </c>
      <c r="W39" s="11">
        <f t="shared" si="2"/>
        <v>1</v>
      </c>
      <c r="X39" s="10" t="str">
        <f t="array" ref="X39">INDEX(Rubric!$B$12:$B$16,MATCH(W39,Rubric!$A$12:$A$16,0))</f>
        <v>None / Undisclosed</v>
      </c>
    </row>
    <row r="40" ht="15.75" customHeight="1">
      <c r="A40" s="4" t="s">
        <v>157</v>
      </c>
      <c r="B40" s="4" t="s">
        <v>343</v>
      </c>
      <c r="C40" s="4">
        <v>37.0</v>
      </c>
      <c r="D40" s="4" t="s">
        <v>290</v>
      </c>
      <c r="E40" s="4" t="s">
        <v>344</v>
      </c>
      <c r="F40" s="4" t="s">
        <v>219</v>
      </c>
      <c r="G40" s="4" t="s">
        <v>219</v>
      </c>
      <c r="H40" s="4" t="s">
        <v>345</v>
      </c>
      <c r="I40" s="7"/>
      <c r="J40" s="4" t="s">
        <v>57</v>
      </c>
      <c r="K40" s="7"/>
      <c r="L40" s="4" t="s">
        <v>57</v>
      </c>
      <c r="M40" s="4" t="s">
        <v>345</v>
      </c>
      <c r="N40" s="4" t="s">
        <v>156</v>
      </c>
      <c r="O40" s="4" t="s">
        <v>164</v>
      </c>
      <c r="P40" s="4" t="s">
        <v>346</v>
      </c>
      <c r="Q40" s="8">
        <v>1.0</v>
      </c>
      <c r="R40" s="8">
        <v>0.0</v>
      </c>
      <c r="S40" s="8">
        <v>0.0</v>
      </c>
      <c r="T40" s="8">
        <v>0.0</v>
      </c>
      <c r="U40" s="8">
        <v>0.0</v>
      </c>
      <c r="V40" s="10">
        <f t="shared" si="1"/>
        <v>1</v>
      </c>
      <c r="W40" s="11">
        <f t="shared" si="2"/>
        <v>1</v>
      </c>
      <c r="X40" s="10" t="str">
        <f t="array" ref="X40">INDEX(Rubric!$B$12:$B$16,MATCH(W40,Rubric!$A$12:$A$16,0))</f>
        <v>None / Undisclosed</v>
      </c>
    </row>
    <row r="41" ht="15.75" customHeight="1">
      <c r="A41" s="4" t="s">
        <v>158</v>
      </c>
      <c r="B41" s="4" t="s">
        <v>347</v>
      </c>
      <c r="C41" s="4">
        <v>63.0</v>
      </c>
      <c r="D41" s="4" t="s">
        <v>296</v>
      </c>
      <c r="E41" s="4" t="s">
        <v>246</v>
      </c>
      <c r="F41" s="4" t="s">
        <v>219</v>
      </c>
      <c r="G41" s="4" t="s">
        <v>219</v>
      </c>
      <c r="H41" s="4" t="s">
        <v>219</v>
      </c>
      <c r="I41" s="7"/>
      <c r="J41" s="4" t="s">
        <v>57</v>
      </c>
      <c r="K41" s="7"/>
      <c r="L41" s="4" t="s">
        <v>57</v>
      </c>
      <c r="M41" s="4" t="s">
        <v>64</v>
      </c>
      <c r="N41" s="4" t="s">
        <v>219</v>
      </c>
      <c r="O41" s="4" t="s">
        <v>267</v>
      </c>
      <c r="P41" s="4"/>
      <c r="Q41" s="8">
        <v>0.0</v>
      </c>
      <c r="R41" s="8">
        <v>0.0</v>
      </c>
      <c r="S41" s="8">
        <v>0.0</v>
      </c>
      <c r="T41" s="8">
        <v>0.0</v>
      </c>
      <c r="U41" s="8">
        <v>0.0</v>
      </c>
      <c r="V41" s="10">
        <f t="shared" si="1"/>
        <v>0</v>
      </c>
      <c r="W41" s="11">
        <f t="shared" si="2"/>
        <v>1</v>
      </c>
      <c r="X41" s="10" t="str">
        <f t="array" ref="X41">INDEX(Rubric!$B$12:$B$16,MATCH(W41,Rubric!$A$12:$A$16,0))</f>
        <v>None / Undisclosed</v>
      </c>
    </row>
    <row r="42" ht="15.75" customHeight="1"/>
    <row r="43" ht="15.75" customHeight="1">
      <c r="A43" s="12" t="s">
        <v>348</v>
      </c>
    </row>
    <row r="44" ht="15.75" customHeight="1">
      <c r="A44" s="5" t="s">
        <v>349</v>
      </c>
    </row>
    <row r="45" ht="15.75" customHeight="1">
      <c r="A45" s="5" t="s">
        <v>350</v>
      </c>
    </row>
    <row r="46" ht="15.75" customHeight="1">
      <c r="A46" s="5" t="s">
        <v>351</v>
      </c>
    </row>
    <row r="47" ht="15.75" customHeight="1">
      <c r="A47" s="5" t="s">
        <v>352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X$4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42.0"/>
    <col customWidth="1" min="4" max="4" width="48.0"/>
    <col customWidth="1" min="5" max="26" width="8.71"/>
  </cols>
  <sheetData>
    <row r="1">
      <c r="A1" s="3" t="s">
        <v>1</v>
      </c>
      <c r="B1" s="3" t="s">
        <v>27</v>
      </c>
      <c r="C1" s="3" t="s">
        <v>28</v>
      </c>
      <c r="D1" s="3" t="s">
        <v>29</v>
      </c>
    </row>
    <row r="2">
      <c r="A2" s="6" t="s">
        <v>18</v>
      </c>
      <c r="B2" s="6" t="s">
        <v>37</v>
      </c>
      <c r="C2" s="6" t="s">
        <v>38</v>
      </c>
      <c r="D2" s="6" t="s">
        <v>40</v>
      </c>
    </row>
    <row r="3">
      <c r="A3" s="6" t="s">
        <v>19</v>
      </c>
      <c r="B3" s="6" t="s">
        <v>42</v>
      </c>
      <c r="C3" s="6" t="s">
        <v>43</v>
      </c>
      <c r="D3" s="6" t="s">
        <v>44</v>
      </c>
    </row>
    <row r="4">
      <c r="A4" s="6" t="s">
        <v>20</v>
      </c>
      <c r="B4" s="6" t="s">
        <v>48</v>
      </c>
      <c r="C4" s="6" t="s">
        <v>51</v>
      </c>
      <c r="D4" s="6" t="s">
        <v>52</v>
      </c>
    </row>
    <row r="5">
      <c r="A5" s="6" t="s">
        <v>21</v>
      </c>
      <c r="B5" s="6" t="s">
        <v>57</v>
      </c>
      <c r="C5" s="6" t="s">
        <v>58</v>
      </c>
      <c r="D5" s="6" t="s">
        <v>61</v>
      </c>
    </row>
    <row r="6">
      <c r="A6" s="6" t="s">
        <v>23</v>
      </c>
      <c r="B6" s="6" t="s">
        <v>64</v>
      </c>
      <c r="C6" s="6" t="s">
        <v>65</v>
      </c>
      <c r="D6" s="6" t="s">
        <v>67</v>
      </c>
    </row>
    <row r="7">
      <c r="A7" s="6"/>
      <c r="B7" s="6"/>
      <c r="C7" s="6"/>
      <c r="D7" s="6"/>
    </row>
    <row r="8">
      <c r="A8" s="6" t="s">
        <v>69</v>
      </c>
      <c r="B8" s="6"/>
      <c r="C8" s="6"/>
      <c r="D8" s="6"/>
    </row>
    <row r="9">
      <c r="A9" s="6"/>
      <c r="B9" s="6"/>
      <c r="C9" s="6"/>
      <c r="D9" s="6"/>
    </row>
    <row r="10">
      <c r="A10" s="6" t="s">
        <v>75</v>
      </c>
      <c r="B10" s="6"/>
      <c r="C10" s="6"/>
      <c r="D10" s="6"/>
    </row>
    <row r="11">
      <c r="A11" s="9" t="s">
        <v>79</v>
      </c>
      <c r="B11" s="9" t="s">
        <v>82</v>
      </c>
      <c r="C11" s="9" t="s">
        <v>83</v>
      </c>
      <c r="D11" s="9"/>
    </row>
    <row r="12">
      <c r="A12" s="6">
        <v>1.0</v>
      </c>
      <c r="B12" s="6" t="s">
        <v>87</v>
      </c>
      <c r="C12" s="6" t="s">
        <v>89</v>
      </c>
      <c r="D12" s="6"/>
    </row>
    <row r="13">
      <c r="A13" s="6">
        <v>2.0</v>
      </c>
      <c r="B13" s="6" t="s">
        <v>91</v>
      </c>
      <c r="C13" s="6" t="s">
        <v>93</v>
      </c>
      <c r="D13" s="6"/>
    </row>
    <row r="14">
      <c r="A14" s="6">
        <v>3.0</v>
      </c>
      <c r="B14" s="6" t="s">
        <v>94</v>
      </c>
      <c r="C14" s="6" t="s">
        <v>96</v>
      </c>
      <c r="D14" s="6"/>
    </row>
    <row r="15">
      <c r="A15" s="6">
        <v>4.0</v>
      </c>
      <c r="B15" s="6" t="s">
        <v>99</v>
      </c>
      <c r="C15" s="6" t="s">
        <v>102</v>
      </c>
      <c r="D15" s="6"/>
    </row>
    <row r="16">
      <c r="A16" s="6">
        <v>5.0</v>
      </c>
      <c r="B16" s="6" t="s">
        <v>104</v>
      </c>
      <c r="C16" s="6" t="s">
        <v>105</v>
      </c>
      <c r="D1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20.0"/>
    <col customWidth="1" min="3" max="26" width="8.71"/>
  </cols>
  <sheetData>
    <row r="1">
      <c r="A1" s="2" t="s">
        <v>0</v>
      </c>
      <c r="B1" s="2" t="s">
        <v>17</v>
      </c>
    </row>
    <row r="2">
      <c r="A2" s="5" t="s">
        <v>22</v>
      </c>
      <c r="B2" s="5" t="s">
        <v>35</v>
      </c>
    </row>
    <row r="3">
      <c r="A3" s="5" t="s">
        <v>22</v>
      </c>
      <c r="B3" s="5" t="s">
        <v>39</v>
      </c>
    </row>
    <row r="4">
      <c r="A4" s="5" t="s">
        <v>22</v>
      </c>
      <c r="B4" s="5" t="s">
        <v>41</v>
      </c>
    </row>
    <row r="5">
      <c r="A5" s="5" t="s">
        <v>45</v>
      </c>
      <c r="B5" s="5" t="s">
        <v>46</v>
      </c>
    </row>
    <row r="6">
      <c r="A6" s="5" t="s">
        <v>47</v>
      </c>
      <c r="B6" s="5" t="s">
        <v>49</v>
      </c>
    </row>
    <row r="7">
      <c r="A7" s="5" t="s">
        <v>47</v>
      </c>
      <c r="B7" s="5" t="s">
        <v>54</v>
      </c>
    </row>
    <row r="8">
      <c r="A8" s="5" t="s">
        <v>56</v>
      </c>
      <c r="B8" s="5" t="s">
        <v>59</v>
      </c>
    </row>
    <row r="9">
      <c r="A9" s="5" t="s">
        <v>56</v>
      </c>
      <c r="B9" s="5" t="s">
        <v>63</v>
      </c>
    </row>
    <row r="10">
      <c r="A10" s="5" t="s">
        <v>66</v>
      </c>
      <c r="B10" s="5" t="s">
        <v>68</v>
      </c>
    </row>
    <row r="11">
      <c r="A11" s="5" t="s">
        <v>66</v>
      </c>
      <c r="B11" s="5" t="s">
        <v>70</v>
      </c>
    </row>
    <row r="12">
      <c r="A12" s="5" t="s">
        <v>71</v>
      </c>
      <c r="B12" s="5" t="s">
        <v>72</v>
      </c>
    </row>
    <row r="13">
      <c r="A13" s="5" t="s">
        <v>73</v>
      </c>
      <c r="B13" s="5" t="s">
        <v>74</v>
      </c>
    </row>
    <row r="14">
      <c r="A14" s="5" t="s">
        <v>73</v>
      </c>
      <c r="B14" s="5" t="s">
        <v>76</v>
      </c>
    </row>
    <row r="15">
      <c r="A15" s="5" t="s">
        <v>77</v>
      </c>
      <c r="B15" s="5" t="s">
        <v>74</v>
      </c>
    </row>
    <row r="16">
      <c r="A16" s="5" t="s">
        <v>78</v>
      </c>
      <c r="B16" s="5" t="s">
        <v>74</v>
      </c>
    </row>
    <row r="17">
      <c r="A17" s="5" t="s">
        <v>80</v>
      </c>
      <c r="B17" s="5" t="s">
        <v>81</v>
      </c>
    </row>
    <row r="18">
      <c r="A18" s="5" t="s">
        <v>80</v>
      </c>
      <c r="B18" s="5" t="s">
        <v>76</v>
      </c>
    </row>
    <row r="19">
      <c r="A19" s="5" t="s">
        <v>84</v>
      </c>
      <c r="B19" s="5" t="s">
        <v>85</v>
      </c>
    </row>
    <row r="20">
      <c r="A20" s="5" t="s">
        <v>84</v>
      </c>
      <c r="B20" s="5" t="s">
        <v>86</v>
      </c>
    </row>
    <row r="21" ht="15.75" customHeight="1">
      <c r="A21" s="5" t="s">
        <v>88</v>
      </c>
      <c r="B21" s="5" t="s">
        <v>85</v>
      </c>
    </row>
    <row r="22" ht="15.75" customHeight="1">
      <c r="A22" s="5" t="s">
        <v>90</v>
      </c>
      <c r="B22" s="5" t="s">
        <v>92</v>
      </c>
    </row>
    <row r="23" ht="15.75" customHeight="1">
      <c r="A23" s="5" t="s">
        <v>90</v>
      </c>
      <c r="B23" s="5" t="s">
        <v>95</v>
      </c>
    </row>
    <row r="24" ht="15.75" customHeight="1">
      <c r="A24" s="5" t="s">
        <v>97</v>
      </c>
      <c r="B24" s="5" t="s">
        <v>98</v>
      </c>
    </row>
    <row r="25" ht="15.75" customHeight="1">
      <c r="A25" s="5" t="s">
        <v>100</v>
      </c>
      <c r="B25" s="5" t="s">
        <v>101</v>
      </c>
    </row>
    <row r="26" ht="15.75" customHeight="1">
      <c r="A26" s="5" t="s">
        <v>100</v>
      </c>
      <c r="B26" s="5" t="s">
        <v>103</v>
      </c>
    </row>
    <row r="27" ht="15.75" customHeight="1">
      <c r="A27" s="5" t="s">
        <v>106</v>
      </c>
      <c r="B27" s="5" t="s">
        <v>107</v>
      </c>
    </row>
    <row r="28" ht="15.75" customHeight="1">
      <c r="A28" s="5" t="s">
        <v>108</v>
      </c>
      <c r="B28" s="5" t="s">
        <v>109</v>
      </c>
    </row>
    <row r="29" ht="15.75" customHeight="1">
      <c r="A29" s="5" t="s">
        <v>108</v>
      </c>
      <c r="B29" s="5" t="s">
        <v>110</v>
      </c>
    </row>
    <row r="30" ht="15.75" customHeight="1">
      <c r="A30" s="5" t="s">
        <v>111</v>
      </c>
      <c r="B30" s="5" t="s">
        <v>112</v>
      </c>
    </row>
    <row r="31" ht="15.75" customHeight="1">
      <c r="A31" s="5" t="s">
        <v>111</v>
      </c>
      <c r="B31" s="5" t="s">
        <v>113</v>
      </c>
    </row>
    <row r="32" ht="15.75" customHeight="1">
      <c r="A32" s="5" t="s">
        <v>114</v>
      </c>
      <c r="B32" s="5" t="s">
        <v>115</v>
      </c>
    </row>
    <row r="33" ht="15.75" customHeight="1">
      <c r="A33" s="5" t="s">
        <v>116</v>
      </c>
      <c r="B33" s="5" t="s">
        <v>117</v>
      </c>
    </row>
    <row r="34" ht="15.75" customHeight="1">
      <c r="A34" s="5" t="s">
        <v>118</v>
      </c>
      <c r="B34" s="5" t="s">
        <v>119</v>
      </c>
    </row>
    <row r="35" ht="15.75" customHeight="1">
      <c r="A35" s="5" t="s">
        <v>118</v>
      </c>
      <c r="B35" s="5" t="s">
        <v>120</v>
      </c>
    </row>
    <row r="36" ht="15.75" customHeight="1">
      <c r="A36" s="5" t="s">
        <v>121</v>
      </c>
      <c r="B36" s="5" t="s">
        <v>122</v>
      </c>
    </row>
    <row r="37" ht="15.75" customHeight="1">
      <c r="A37" s="5" t="s">
        <v>123</v>
      </c>
      <c r="B37" s="5" t="s">
        <v>124</v>
      </c>
    </row>
    <row r="38" ht="15.75" customHeight="1">
      <c r="A38" s="5" t="s">
        <v>125</v>
      </c>
      <c r="B38" s="5" t="s">
        <v>126</v>
      </c>
    </row>
    <row r="39" ht="15.75" customHeight="1">
      <c r="A39" s="5" t="s">
        <v>127</v>
      </c>
      <c r="B39" s="5" t="s">
        <v>128</v>
      </c>
    </row>
    <row r="40" ht="15.75" customHeight="1">
      <c r="A40" s="5" t="s">
        <v>129</v>
      </c>
      <c r="B40" s="5" t="s">
        <v>130</v>
      </c>
    </row>
    <row r="41" ht="15.75" customHeight="1">
      <c r="A41" s="5" t="s">
        <v>131</v>
      </c>
      <c r="B41" s="5" t="s">
        <v>132</v>
      </c>
    </row>
    <row r="42" ht="15.75" customHeight="1">
      <c r="A42" s="5" t="s">
        <v>133</v>
      </c>
      <c r="B42" s="5" t="s">
        <v>134</v>
      </c>
    </row>
    <row r="43" ht="15.75" customHeight="1">
      <c r="A43" s="5" t="s">
        <v>133</v>
      </c>
      <c r="B43" s="5" t="s">
        <v>135</v>
      </c>
    </row>
    <row r="44" ht="15.75" customHeight="1">
      <c r="A44" s="5" t="s">
        <v>136</v>
      </c>
      <c r="B44" s="5" t="s">
        <v>137</v>
      </c>
    </row>
    <row r="45" ht="15.75" customHeight="1">
      <c r="A45" s="5" t="s">
        <v>138</v>
      </c>
      <c r="B45" s="5" t="s">
        <v>139</v>
      </c>
    </row>
    <row r="46" ht="15.75" customHeight="1">
      <c r="A46" s="5" t="s">
        <v>140</v>
      </c>
      <c r="B46" s="5" t="s">
        <v>141</v>
      </c>
    </row>
    <row r="47" ht="15.75" customHeight="1">
      <c r="A47" s="5" t="s">
        <v>142</v>
      </c>
      <c r="B47" s="5" t="s">
        <v>143</v>
      </c>
    </row>
    <row r="48" ht="15.75" customHeight="1">
      <c r="A48" s="5" t="s">
        <v>142</v>
      </c>
      <c r="B48" s="5" t="s">
        <v>144</v>
      </c>
    </row>
    <row r="49" ht="15.75" customHeight="1">
      <c r="A49" s="5" t="s">
        <v>145</v>
      </c>
      <c r="B49" s="5" t="s">
        <v>146</v>
      </c>
    </row>
    <row r="50" ht="15.75" customHeight="1">
      <c r="A50" s="5" t="s">
        <v>147</v>
      </c>
      <c r="B50" s="5" t="s">
        <v>148</v>
      </c>
    </row>
    <row r="51" ht="15.75" customHeight="1">
      <c r="A51" s="5" t="s">
        <v>149</v>
      </c>
      <c r="B51" s="5" t="s">
        <v>150</v>
      </c>
    </row>
    <row r="52" ht="15.75" customHeight="1">
      <c r="A52" s="5" t="s">
        <v>151</v>
      </c>
      <c r="B52" s="5" t="s">
        <v>152</v>
      </c>
    </row>
    <row r="53" ht="15.75" customHeight="1">
      <c r="A53" s="5" t="s">
        <v>153</v>
      </c>
      <c r="B53" s="5" t="s">
        <v>154</v>
      </c>
    </row>
    <row r="54" ht="15.75" customHeight="1">
      <c r="A54" s="5" t="s">
        <v>155</v>
      </c>
      <c r="B54" s="5" t="s">
        <v>156</v>
      </c>
    </row>
    <row r="55" ht="15.75" customHeight="1">
      <c r="A55" s="5" t="s">
        <v>157</v>
      </c>
      <c r="B55" s="5" t="s">
        <v>156</v>
      </c>
    </row>
    <row r="56" ht="15.75" customHeight="1">
      <c r="A56" s="5" t="s">
        <v>158</v>
      </c>
      <c r="B56" s="5" t="s">
        <v>159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